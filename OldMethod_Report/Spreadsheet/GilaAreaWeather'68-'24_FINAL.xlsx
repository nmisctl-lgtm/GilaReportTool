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mgov-my.sharepoint.com/personal/tao_liu_ose_nm_gov/Documents/Documents/Projects_local/GilaReport/2024 GSF Consumptive Use Files/Spreadsheet/"/>
    </mc:Choice>
  </mc:AlternateContent>
  <xr:revisionPtr revIDLastSave="1333" documentId="13_ncr:1_{D668D61A-1DA5-451F-8FDB-E888CC228679}" xr6:coauthVersionLast="47" xr6:coauthVersionMax="47" xr10:uidLastSave="{461D456D-CF14-4B7D-A660-AA2038128A66}"/>
  <bookViews>
    <workbookView xWindow="5430" yWindow="6930" windowWidth="28800" windowHeight="12090" tabRatio="828" xr2:uid="{00000000-000D-0000-FFFF-FFFF00000000}"/>
  </bookViews>
  <sheets>
    <sheet name="luna" sheetId="1" r:id="rId1"/>
    <sheet name="apache-aragon" sheetId="2" r:id="rId2"/>
    <sheet name="reserve" sheetId="9" r:id="rId3"/>
    <sheet name="glenwood-mule crk" sheetId="8" r:id="rId4"/>
    <sheet name="upper gila" sheetId="7" r:id="rId5"/>
    <sheet name="cliff-gila-buckhorn-duck crk" sheetId="6" r:id="rId6"/>
    <sheet name="redrock" sheetId="5" r:id="rId7"/>
    <sheet name="virden valley" sheetId="4" r:id="rId8"/>
    <sheet name="san simon" sheetId="11" r:id="rId9"/>
  </sheets>
  <definedNames>
    <definedName name="gilacheck" localSheetId="0">luna!$A$1:$M$1085</definedName>
    <definedName name="_xlnm.Print_Area" localSheetId="1">'apache-aragon'!$A$1:$M$237</definedName>
    <definedName name="_xlnm.Print_Area" localSheetId="5">'cliff-gila-buckhorn-duck crk'!$A$1:$M$229</definedName>
    <definedName name="_xlnm.Print_Area" localSheetId="3">'glenwood-mule crk'!$A$1:$M$232</definedName>
    <definedName name="_xlnm.Print_Area" localSheetId="6">redrock!$A$1:$M$229</definedName>
    <definedName name="_xlnm.Print_Area" localSheetId="2">reserve!$A$1:$M$237</definedName>
    <definedName name="_xlnm.Print_Area" localSheetId="4">'upper gila'!$A$1:$M$111,'upper gila'!$A$116:$N$231</definedName>
    <definedName name="_xlnm.Print_Area" localSheetId="7">'virden valley'!$A$1:$M$228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6" i="4" l="1"/>
  <c r="J116" i="4"/>
  <c r="I116" i="4"/>
  <c r="H116" i="4"/>
  <c r="G116" i="4"/>
  <c r="F116" i="4"/>
  <c r="E116" i="4"/>
  <c r="D116" i="4"/>
  <c r="C116" i="4"/>
  <c r="M111" i="2"/>
  <c r="L111" i="2"/>
  <c r="K111" i="2"/>
  <c r="J111" i="2"/>
  <c r="I111" i="2"/>
  <c r="H111" i="2"/>
  <c r="G111" i="2"/>
  <c r="D111" i="2"/>
  <c r="C111" i="2"/>
  <c r="B111" i="2"/>
  <c r="M111" i="9"/>
  <c r="L111" i="9"/>
  <c r="K111" i="9"/>
  <c r="J111" i="9"/>
  <c r="I111" i="9"/>
  <c r="H111" i="9"/>
  <c r="G111" i="9"/>
  <c r="D111" i="9"/>
  <c r="C111" i="9"/>
  <c r="B111" i="9"/>
  <c r="M110" i="2"/>
  <c r="L110" i="2"/>
  <c r="K110" i="2"/>
  <c r="J110" i="2"/>
  <c r="I110" i="2"/>
  <c r="G110" i="2"/>
  <c r="F110" i="2"/>
  <c r="E110" i="2"/>
  <c r="D110" i="2"/>
  <c r="J110" i="9"/>
  <c r="I110" i="9"/>
  <c r="M110" i="9"/>
  <c r="L110" i="9"/>
  <c r="K110" i="9"/>
  <c r="G110" i="9"/>
  <c r="F110" i="9"/>
  <c r="E110" i="9"/>
  <c r="D110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I46" i="9"/>
  <c r="H46" i="9"/>
  <c r="B102" i="7"/>
  <c r="C102" i="7"/>
  <c r="D102" i="7"/>
  <c r="E102" i="7"/>
  <c r="F102" i="7"/>
  <c r="G102" i="7"/>
  <c r="H102" i="7"/>
  <c r="I102" i="7"/>
  <c r="J102" i="7"/>
  <c r="K102" i="7"/>
  <c r="L102" i="7"/>
  <c r="M10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ilacheck" type="6" refreshedVersion="0" background="1" saveData="1">
    <textPr fileType="dos" sourceFile="C:\pat\CIRprogramfiles\gilacheck.txt" delimited="0">
      <textFields count="13">
        <textField/>
        <textField position="8"/>
        <textField position="14"/>
        <textField position="20"/>
        <textField position="26"/>
        <textField position="32"/>
        <textField position="38"/>
        <textField position="44"/>
        <textField position="50"/>
        <textField position="56"/>
        <textField position="62"/>
        <textField position="68"/>
        <textField position="74"/>
      </textFields>
    </textPr>
  </connection>
</connections>
</file>

<file path=xl/sharedStrings.xml><?xml version="1.0" encoding="utf-8"?>
<sst xmlns="http://schemas.openxmlformats.org/spreadsheetml/2006/main" count="890" uniqueCount="237">
  <si>
    <t>LUNA</t>
  </si>
  <si>
    <t>Precipitation</t>
  </si>
  <si>
    <t>Average Temperature</t>
  </si>
  <si>
    <t>APACHE-ARAGON</t>
  </si>
  <si>
    <t>RESERVE</t>
  </si>
  <si>
    <t>GLENWOOD-MULE CREEK</t>
  </si>
  <si>
    <t>UPPER GILA</t>
  </si>
  <si>
    <t>CLIFF-GILA-BUCKHORN-DUCK CREEK</t>
  </si>
  <si>
    <t>REDROCK</t>
  </si>
  <si>
    <t>VIRDEN VALLEY</t>
  </si>
  <si>
    <t>SAN SIMON</t>
  </si>
  <si>
    <t>Luna Ranger Station</t>
  </si>
  <si>
    <t>Danley Ranch</t>
  </si>
  <si>
    <t>Glenwood</t>
  </si>
  <si>
    <t>Cliff 10 SE</t>
  </si>
  <si>
    <t>Gila Hot Springs</t>
  </si>
  <si>
    <t>Redrock 1 NE</t>
  </si>
  <si>
    <t>Duncan</t>
  </si>
  <si>
    <t>Rodeo</t>
  </si>
  <si>
    <t>Reserve Ranger Station</t>
  </si>
  <si>
    <t>Redrock</t>
  </si>
  <si>
    <t>Danley Ranch;  July 6-10 and 24-30 missing data</t>
  </si>
  <si>
    <t>Danley Ranch; Reserve temp., precip. Aug. through December</t>
  </si>
  <si>
    <t>Reserve Ranger Station; missing temp. data estimated Sept., Oct.</t>
  </si>
  <si>
    <t>Glenwood; missing temp. data estimated Nov.</t>
  </si>
  <si>
    <t>Gila Hot Springs; missing temp. data Dec.</t>
  </si>
  <si>
    <t>Duncan;  missing temperature data estimated Jan., June</t>
  </si>
  <si>
    <t>Danley Ranch; missing temp. data Jan., May; missing precip. data Nov.; Reserve temp. used May</t>
  </si>
  <si>
    <t>Reserve Ranger Station; missing temp. data estimated Jan., Feb., April, Sept., Nov.</t>
  </si>
  <si>
    <t>Gila Hot Springs; missing temp. data Jan., April, May, July, Nov.</t>
  </si>
  <si>
    <t>Redrock 1 NE; missing temp. data Mar.</t>
  </si>
  <si>
    <t>Duncan;  missing temperature data  Jan., July, Aug.</t>
  </si>
  <si>
    <t>Rodeo;  missing temp. data Jan. through Nov. inclusive</t>
  </si>
  <si>
    <t>Luna Ranger Station; Oct. temp. estimated</t>
  </si>
  <si>
    <t>Beaverhead</t>
  </si>
  <si>
    <t>Redrock 1 NE; Oct. weather data estimated</t>
  </si>
  <si>
    <t>Glenwood weather data Jan., Mar. through Sept.; Cliff 10 SE temp. data</t>
  </si>
  <si>
    <t>Duncan; Sept. temp. estimated</t>
  </si>
  <si>
    <t>Rodeo; Feb. long term avg. weather</t>
  </si>
  <si>
    <t>Beaverhead; Oct. weather data 10 year average 1967-1976; Nov., Dec. precip. 1970-1976 average</t>
  </si>
  <si>
    <t>Glenwood; Nov. temp. 10 year average</t>
  </si>
  <si>
    <t>Cliff 10 SE; Mar. weather data 10 year average 1967-1976</t>
  </si>
  <si>
    <t>Rodeo; Jan. through June 10 year avg. weather 1967-1976; frost dates from Bulletin 531</t>
  </si>
  <si>
    <t>Luna Ranger Station; Nov. temp. computed from 20 days average</t>
  </si>
  <si>
    <t>Duncan 10 year average weather 1967 - 1977</t>
  </si>
  <si>
    <t>Rodeo weather data Jan., Feb., April; Animas weather data all other months</t>
  </si>
  <si>
    <t>Beaverhead; Sept., Oct., Nov. 10 year average weather data 1968-1977</t>
  </si>
  <si>
    <t>Beaverhead10 year average weather data 1968-1977</t>
  </si>
  <si>
    <t>Animas</t>
  </si>
  <si>
    <t>Luna Ranger Station; Aug. temp. average 1971-75 and 1977-79; precip. Average 1971-79</t>
  </si>
  <si>
    <t>Reserve Ranger Station; Nov. temp. average 1970-79</t>
  </si>
  <si>
    <t>Beaverhead; Jan., Nov. temp. data 1970-80 average</t>
  </si>
  <si>
    <t>Reserve Ranger Station; Oct. temp. average 1970-80</t>
  </si>
  <si>
    <t>Beaverhead; missing Sept. temp. data, average for 1971-86</t>
  </si>
  <si>
    <t>Reserve Ranger Station; missing temp. data Sept. average 1972-87</t>
  </si>
  <si>
    <t>Reserve Ranger Station; Oct. temp. based on 19 days of record</t>
  </si>
  <si>
    <t>Reserve Ranger Station; July temp. based on 20 days of record</t>
  </si>
  <si>
    <t>Duncan; Jan., Feb., temp. are long term avg from 1989 NOAA Arizona annual summary</t>
  </si>
  <si>
    <t>Reserve Ranger Station; Feb., Mar. temp. average 1971-90</t>
  </si>
  <si>
    <t>Cliff 10 SE; Dec. temp based on 20 days of record</t>
  </si>
  <si>
    <t>Reserve Ranger Station; missing temp. Feb., Nov.</t>
  </si>
  <si>
    <t>Cliff 10 SE; Nov. temp based missing</t>
  </si>
  <si>
    <t>Beaverhead; May temp. based on 20 days of record</t>
  </si>
  <si>
    <t>Cliff 10 SE; Mar. temp based on 18 days of record; April temp. based on 16 days of record</t>
  </si>
  <si>
    <t>Duncan;Fall frost dates 28 and 32 Redrock</t>
  </si>
  <si>
    <t>Reserve Ranger Station; Jan., Feb., May, July, Sept., Oct., temp. long term average</t>
  </si>
  <si>
    <t>Beaverhead long term average weather data Jan., Feb., April</t>
  </si>
  <si>
    <t>Beaverhead; April temp. based on 20 days of record; Oct. temp. long term average</t>
  </si>
  <si>
    <t>Reserve Ranger Station; April long term temp.; spring minimums 28 and 32 as reported in Bulletin 531</t>
  </si>
  <si>
    <t>Beaverhead no temp. data except Mar., June; First fall minimums from Bulletin 531, Reserve</t>
  </si>
  <si>
    <t>Weather data derivation unknown</t>
  </si>
  <si>
    <t>Duncan; Dec. temp. data source unknown</t>
  </si>
  <si>
    <t>Glenwood; Aug., Sept., temp. long term average 1943-83</t>
  </si>
  <si>
    <t>Luna Ranger Station; missing NOAA temp. data Mar., Jun., Jul., Dec.</t>
  </si>
  <si>
    <t>Luna Ranger Station; missing NOAA precip. data Nov.; missing NOAA temp. data Nov.</t>
  </si>
  <si>
    <t>Luna Ranger Station; Mar. precip. long term average 1951-80; missing NOAA precip. data Dec.</t>
  </si>
  <si>
    <t>Luna Ranger Station except unknown April precip. &amp;  Nov. temp.</t>
  </si>
  <si>
    <t>Gila Hot Springs except unknown Aug. precip. data &amp; May and Aug. temp. data</t>
  </si>
  <si>
    <t>Gila Hot Springs; missing NOAA Jun temp. data</t>
  </si>
  <si>
    <t>Gila Hot Springs; missing NOAA Feb temp. data</t>
  </si>
  <si>
    <t>Glenwood; missing NOAA precip &amp; temp data all months</t>
  </si>
  <si>
    <t>Glenwood; missing NOAA precip data Jan, Oct.; missing NOAA temp data Jan, Feb.</t>
  </si>
  <si>
    <t>Cliff 10 SE; missing NOAA temp data Jul, Oct, Nov; unknown data source Sep. temp</t>
  </si>
  <si>
    <t>Duncan; missing NOAA precip &amp; temp data Aug</t>
  </si>
  <si>
    <t>Duncan; missing NOAA temp data Feb</t>
  </si>
  <si>
    <t>Animas; missing NOAA  precip. Aug; missing NOAA temp  Aug, Sep</t>
  </si>
  <si>
    <t>Animas; missing NOAA precip Jun; missing NOAA temp Feb, Jun; unknown temp data source Mar, Jul, Aug</t>
  </si>
  <si>
    <t>Animas; missing NOAA  precip. Nov;  missing NOAA temp May, Jul, Aug, Oct</t>
  </si>
  <si>
    <t>Animas; unknown Oct temp data source</t>
  </si>
  <si>
    <t>Animas; missing NOAA temp data Dec</t>
  </si>
  <si>
    <t>Animas; missing NOAA precip Jan, Oct, Nov; missing NOAA temp Jan</t>
  </si>
  <si>
    <t>Animas; unknown precip data source Mar</t>
  </si>
  <si>
    <t>Luna Ranger Station; missing NOAA precip data Feb, Oct; missing NOAA temp data Jan, Feb</t>
  </si>
  <si>
    <t>Glenwood; missing NOAA precip &amp; temp data May</t>
  </si>
  <si>
    <t>Redrock 1 NE; missing NOAA temp data May</t>
  </si>
  <si>
    <t>Precip Jun - Beaverhead; all other months Reserve Ranger Station</t>
  </si>
  <si>
    <t>Temp Jan, Feb, Mar, Apr, Aug, Oct, Nov - Luna; May, Jun, Jul, Sep - Beaverhead; Dec - Reserve Ranger Station</t>
  </si>
  <si>
    <t>Precip Feb - Luna; all other months - Beaverhead</t>
  </si>
  <si>
    <t>Glenwood; missing NOAA temp data Jan, Apr</t>
  </si>
  <si>
    <t>Redrock 1 NE; unknown data source Aug. precip</t>
  </si>
  <si>
    <t>San Simon Weather Notes</t>
  </si>
  <si>
    <t>Virden Valley Weather Notes</t>
  </si>
  <si>
    <t>Redrock Weather Notes</t>
  </si>
  <si>
    <t>Cliff-Gila-Buckhorn-Duck Creek Weather Notes</t>
  </si>
  <si>
    <t>Upper Gila Weather Notes</t>
  </si>
  <si>
    <t>Glenwood-Mule Creek  Weather Notes</t>
  </si>
  <si>
    <t>Reserve Weather Notes</t>
  </si>
  <si>
    <t>Apache-Aragon Weather Notes</t>
  </si>
  <si>
    <t>Luna Weather Notes</t>
  </si>
  <si>
    <t xml:space="preserve">Reserve Ranger Station precip. Jan., Feb., Apr. - Dec.; Luna Ranger Station precip. Mar.; </t>
  </si>
  <si>
    <t>Animas 3 ESE</t>
  </si>
  <si>
    <t>Reserve Ranger Station temp. Jan.; Luna Ranger Station temp. Feb. - Dec.; Beaverhead frost dates</t>
  </si>
  <si>
    <t>Luna Ranger Station except:  Nov and Dec precip and temp from Alpine AZ.</t>
  </si>
  <si>
    <t>Beaverhead except:  Jan temp from Luna; Aug precip and temp from Reserve.</t>
  </si>
  <si>
    <t>Reserve Ranger Station except:  Jan-May, Jul temps from Luna; Nov temp from Beaverhead.</t>
  </si>
  <si>
    <t xml:space="preserve">Gila Hot Springs was used for Jan and Feb, but it was inactive after Feb.  In past years, the nearest weather station, </t>
  </si>
  <si>
    <t>Beaverhead, has correlated well with GHS, though its temps have consistently been slightly lower than those at GHS.</t>
  </si>
  <si>
    <t>Mar-Jul and Sep-Dec precip from Beaverhead; Aug precip from Glenwood.  Mar-Jul and Sep-Dec temps from Beaverhead</t>
  </si>
  <si>
    <t>with 2 degrees added to each; Aug temp from Winston.  Frost dates from Beaverhead daily temps with 2 degrees added.</t>
  </si>
  <si>
    <t>Cliff 11 SE except:  May temp from Glenwood.</t>
  </si>
  <si>
    <t>Redrock 1 NNE</t>
  </si>
  <si>
    <t>Duncan except:  Jan, Mar, Sep, and Nov precip and temp from Redrock 1 NNE.</t>
  </si>
  <si>
    <t>Animas; missing NOAA  temp. &amp; precip. Nov; Lordsburg first fall minimums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</si>
  <si>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</si>
  <si>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</si>
  <si>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</si>
  <si>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</si>
  <si>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</si>
  <si>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</si>
  <si>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</si>
  <si>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</si>
  <si>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</si>
  <si>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</si>
  <si>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</si>
  <si>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</si>
  <si>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Cliff 11 SE</t>
  </si>
  <si>
    <t>Frost Dates</t>
  </si>
  <si>
    <t>Date of Last Spring</t>
  </si>
  <si>
    <r>
      <t>Min. Temp. &lt;=32</t>
    </r>
    <r>
      <rPr>
        <vertAlign val="superscript"/>
        <sz val="8"/>
        <rFont val="Arial"/>
        <family val="2"/>
      </rPr>
      <t>o</t>
    </r>
    <r>
      <rPr>
        <sz val="10"/>
        <rFont val="Arial"/>
        <family val="2"/>
      </rPr>
      <t>F</t>
    </r>
  </si>
  <si>
    <r>
      <t>Min. Temp. &lt;=28</t>
    </r>
    <r>
      <rPr>
        <vertAlign val="superscript"/>
        <sz val="8"/>
        <rFont val="Arial"/>
        <family val="2"/>
      </rPr>
      <t>o</t>
    </r>
    <r>
      <rPr>
        <sz val="10"/>
        <rFont val="Arial"/>
        <family val="2"/>
      </rPr>
      <t>F</t>
    </r>
  </si>
  <si>
    <t>Date of First Fall</t>
  </si>
  <si>
    <t>Luna Ranger Station except:  Jan, Feb, Mar, and Apr precip and temp from Alpine AZ.</t>
  </si>
  <si>
    <t>Beaverhead except:  Sep temp from Luna; Oct, Nov, and Dec precip and temp from Luna.</t>
  </si>
  <si>
    <t>Reserve Ranger Station except:  Mar temp from Beaverhead.</t>
  </si>
  <si>
    <t>Jan-Sep precip from Beaverhead; Oct-Dec precip from Cliff.  Jan-Aug temps from Beaverhead with 2 degrees added;</t>
  </si>
  <si>
    <t>Sep-Dec temps from Cliff with 2 degrees subtracted.  Frost dates from modified Beaverhead and Cliff temps.</t>
  </si>
  <si>
    <t>Duncan except:  Mar, Apr, and Jul precip and temp from Redrock 1 NNE.</t>
  </si>
  <si>
    <t>Danley Ranch; temperature Danley Ranch; April temperature average 1941-65 (fits 1968 temp. curve);</t>
  </si>
  <si>
    <t xml:space="preserve"> April, May, June, September precip. average of Reserve &amp; Beaverhead because of unusual dry year</t>
  </si>
  <si>
    <t>Beaverhead; missing temp data Jan-Mar, Aug-Dec; missing precip data Jan, Mar, Aug-Nov</t>
  </si>
  <si>
    <t>Beaverhead; Jan, Feb, Mar, Jun, Aug, Sep, Nov, Dec temp 1970-95 average; Frosts from Luna RS</t>
  </si>
  <si>
    <t>Beaverhead temp May, Jun, Jul, Aug; Luna Ranger Station temp Jan, Feb, Mar, Apr, Sep, Oct, Nov, Dec</t>
  </si>
  <si>
    <t>Danley Ranch; missing temp data Jan thru Sep; missing precip Data Jan thru Jun; area CIR estimated</t>
  </si>
  <si>
    <t>Danley Ranch weather data Jan through Jun; York Ranch Jul through Nov;  Jun temp estimated</t>
  </si>
  <si>
    <t>Beaverhead; Jan temp based on 21 days of record; Feb minimum temp based on 17 days of record</t>
  </si>
  <si>
    <t xml:space="preserve">Beaverhead; Mar, Aug precip Reserve Ranger Station; Jan, Mar, Aug, Dec, temp Reserve Ranger Station; </t>
  </si>
  <si>
    <t xml:space="preserve">Sep, Oct temp Reserve long term average 1931-83 </t>
  </si>
  <si>
    <t xml:space="preserve">Beaverhead precip Mar, Apr, Jun, Jul, Aug, Sep, Oct; long term average precip Jan, Feb, Nov, Dec; </t>
  </si>
  <si>
    <t xml:space="preserve">Beaverhead precip Jan, Apr - Aug, Oct - Dec; Luna Ranger Station precip Feb, Mar, Sep; </t>
  </si>
  <si>
    <t>Luna Ranger Station temp Jan - Mar, Jul - Dec; Beaverhead temp Apr - Jun; Beaverhead frost dates</t>
  </si>
  <si>
    <t>Luna RS temp data Jan, Feb, Apr, May; Alpine AZ temp data all other months and precip data Mar, Nov</t>
  </si>
  <si>
    <t>Luna RS temp data Jun thru Sep, Dec; Alpine, AZ temp data all other months; Luna RS precip</t>
  </si>
  <si>
    <t>Luna Ranger Station, missing  NOAA precip data Dec; missing NOAA temp data Oct, Nov, Dec</t>
  </si>
  <si>
    <t>Reserve Ranger Station; Aug estimated 10 days temp and 5 days precip; missing record</t>
  </si>
  <si>
    <t>Reserve RS; Mar, May, Aug, Sep, Nov,  Dec temp average 1971-95; Precip Sep long-term average</t>
  </si>
  <si>
    <t>Reserve RS; Sep, Oct, Nov, temp long term average 1931-83; Dec precip long term average 1931-83</t>
  </si>
  <si>
    <t>Reserve RS; Apr, May temp long term average 1931-83; Nov precip long term average 1931-83</t>
  </si>
  <si>
    <t>Reserve RS; Mar, Apr, May, Aug, Sep, Oct temp average 1931-83; Feb, Aug, Sep precip average 1931-83</t>
  </si>
  <si>
    <t>Temp Jan, Apr, Oct - Luna; May, Jun - Beaverhead; Feb, Mar, Jul, Aug, Sep, Nov, Dec - Reserve RS</t>
  </si>
  <si>
    <t>First fall minimum temps Beaverhead</t>
  </si>
  <si>
    <t xml:space="preserve">Reserve RS; Jan, Feb, Jul, Sep, Oct, Dec temps average 1971-92; Precip Sep long-term average; </t>
  </si>
  <si>
    <t xml:space="preserve">Reserve RS; Feb, Oct, Nov, Dec temps average 1971-92; </t>
  </si>
  <si>
    <t>May, Jun, Jul, Sep temps based on 16, 20, 20, 18 days of record</t>
  </si>
  <si>
    <t>Glenwood except unknown Jun, Dec precip data and Mar, May, Jun temp data; missing temp data Oct, Nov</t>
  </si>
  <si>
    <t>Glenwood; Apr, Oct temp and Oct precip long term average; missing precip Jun; Gila Hot Springs first fall min</t>
  </si>
  <si>
    <t xml:space="preserve">Glenwood except unknown Apr, Jun temp data; missing precip data Jul, Aug, Sep, Oct, Nov, Dec; </t>
  </si>
  <si>
    <t>missing temp data Feb, May, Jul, Aug, Sep, Oct, Nov, Dec</t>
  </si>
  <si>
    <t>Precip Jan, Jul, Aug average; Apr 1/3 of average; May 1/2 of average; Jun entire area dry</t>
  </si>
  <si>
    <t xml:space="preserve">Glenwood Mar, Jun, Jul; Cliff 10 SE temps Jan, Feb, Apr, May, Aug thru Dec; </t>
  </si>
  <si>
    <t>precip average of Reserve and Duncan Jan, Feb, Apr, May, Aug thru Dec</t>
  </si>
  <si>
    <t xml:space="preserve">Glenwood; corrections based on surrounding area: temps Jan, May, Jun, Jul average; Apr, Aug ave less 3°. </t>
  </si>
  <si>
    <t>Cliff 10 SE; missing temp data Jan, Mar, Apr, Aug, Sep, Oct, Dec; unknown data source May, Nov temp</t>
  </si>
  <si>
    <t>Duncan precip and temp Jan-Mar, Dec; Redrock precip and temp Apr-Nov; Redrock frost dates</t>
  </si>
  <si>
    <t>Reserve Ranger Station except:  Jul and Oct precip and temp from Luna.</t>
  </si>
  <si>
    <t>Duncan except:  Apr, Oct, Nov, and Dec precip and temp from Redrock 1 NNE.</t>
  </si>
  <si>
    <t>Cliff 11 SE precip.  Temps and frost dates from Cliff 11 SE with 2 degrees subtracted.</t>
  </si>
  <si>
    <t>Reserve Ranger Station except:  May and Dec precip and temp from Luna; Luna frost dates.</t>
  </si>
  <si>
    <t>Reserve Ranger Station except:  May and Dec precip and temp from Luna; spring 28 date from average.</t>
  </si>
  <si>
    <t>Gila Hot Springs except:  Jan-Mar precip and temps from Cliff 11 SE with 2 degrees subtracted from temps.</t>
  </si>
  <si>
    <t>temp; 20 subtracted from spring frost dates; 18 added to first fall frost date; 15 added to second fall frost date.</t>
  </si>
  <si>
    <t>Luna RS with 0.8 subtracted from Jul-Aug precip; 4 added to Jan-May and Oct-Dec temp; 5 added to Jun-Sep</t>
  </si>
  <si>
    <t>Cliff 11 SE except:  Aug temp from Glenwood.</t>
  </si>
  <si>
    <t>Cliff 11 SE except:  Nov temp from Glenwood.</t>
  </si>
  <si>
    <t>Duncan except:  Dec precip and temp from Redrock 1 NNE.</t>
  </si>
  <si>
    <t>Reserve RS:  Sep-Dec temps, fall frost dates.  Others from Luna RS adjusted as in 2011.</t>
  </si>
  <si>
    <t>Cliff 11 SE except:  Dec temp from Glenwood.</t>
  </si>
  <si>
    <t>Reserve RS:  Jan-Sep temps, all frost dates.  Others from Luna RS adjusted as in 2011.</t>
  </si>
  <si>
    <t>Reserve RS</t>
  </si>
  <si>
    <t>Glenwood for Jan-Sep; Cliff 11 SE for Oct-Dec.</t>
  </si>
  <si>
    <t>San Simon (AZ)</t>
  </si>
  <si>
    <t>Glenwood except: Oct-Nov from Reserve with precip minus 0.1, temp plus 6, and fall 28 frost plus 10 days.</t>
  </si>
  <si>
    <t>Reserve RS except: Jun from Glenwood with precip the same and temp minus 6.</t>
  </si>
  <si>
    <t>Luna RS for Jan-Apr. Alpine (AZ) for May-Dec and freeze dates.</t>
  </si>
  <si>
    <t>Luna RS for Jan-Apr. Reserve for May-Dec and frost dates.</t>
  </si>
  <si>
    <t>Alpine (AZ)</t>
  </si>
  <si>
    <t>Reserve RS:  Jan, Feb, Jul temps.  Glenwood:  Mar-Jun and Oct-Dec temps minus 6, Aug-Sep temps minus 5.</t>
  </si>
  <si>
    <t>Glenwood:  all precip the same; 30 added to spring frost dates; 20 subtracted from fall frost dates.</t>
  </si>
  <si>
    <t>Glenwood except: March precip estimated from local, March temp from average.</t>
  </si>
  <si>
    <t>Reserve RS: Apr-May temps.  Glenwood: Jan-Mar, Jun, and Oct-Dec temps minus 6, Jul-Sep temps minus 5.</t>
  </si>
  <si>
    <t>Glenwood: all precip the same; 30 added to spring frost dates; 20 subtracted from fall frost dates.</t>
  </si>
  <si>
    <t>Reserve RS:  Jan, Mar-Nov precip.  May-Dec temps.  Frost dates.</t>
  </si>
  <si>
    <t>Glenwood:  Feb, Dec precip.  Jan-Apr temps minus 6.</t>
  </si>
  <si>
    <t>Alpine (AZ) except June temp used May +12</t>
  </si>
  <si>
    <t>Alpine (AZ) except Mar  temp used Feb+6.4, Nov temp used Oct-7.5</t>
  </si>
  <si>
    <t>Glenwood for precip, Glenwood minu 6 for temp, Reserve RS for spring fall frost dates</t>
  </si>
  <si>
    <t>Precip: Reserve for Mar + April, rest Glenwood; Temp: Reserve for Jan, Oct, Nov rest Glenwood minus 6</t>
  </si>
  <si>
    <t>Reserve RS for spring fall frost dates</t>
  </si>
  <si>
    <t>WRCC for temp + precip, Alpine for dates of last, first cold weather</t>
  </si>
  <si>
    <t>From https://wrcc.dri.edu/cgi-bin/rawMAIN.pl?nmXLUN</t>
  </si>
  <si>
    <r>
      <rPr>
        <sz val="10"/>
        <rFont val="Arial"/>
        <family val="2"/>
      </rPr>
      <t xml:space="preserve">Reserve from  </t>
    </r>
    <r>
      <rPr>
        <sz val="10"/>
        <color indexed="12"/>
        <rFont val="Arial"/>
        <family val="2"/>
      </rPr>
      <t>https://wrcc.dri.edu/cgi-bin/rawMAIN.pl?nmXRES</t>
    </r>
  </si>
  <si>
    <t>Animas 3 ESE thru May, San Simon for rest. Est 62 for Oct.  Animas appears to be offline</t>
  </si>
  <si>
    <t>LUAN5 raws station obtained through Mesowest (33.822917, -108.943167, elevation 7046')</t>
  </si>
  <si>
    <t>RESN5 raws station obtained through Mesowest (33.71944, -108.777139, elevation 5839')</t>
  </si>
  <si>
    <t>Redrock 1 NNE, missing frost days (used averages)</t>
  </si>
  <si>
    <t>San Simon (AZ): 32.29329, -109.22691, elevation 3579'</t>
  </si>
  <si>
    <t>Luna precip, Reserve temperatures and frost dates</t>
  </si>
  <si>
    <t>Reserve area PRISM data (33.7149N,108.7581W)</t>
  </si>
  <si>
    <t>Apache-Aragon area GridMETdata (33.8477N,108.6103W)</t>
  </si>
  <si>
    <t>Glenwood area GridMETdata (33.3182N. 108.8827W)</t>
  </si>
  <si>
    <t>Gila Hot Springs Area GridMET (33.1989N, 108.2061W)</t>
  </si>
  <si>
    <t>Cliff-Gila GridMET (32.9738N, 108.5851W)</t>
  </si>
  <si>
    <t>Redrock Area GridMET (32.6854N, 108.7750W)</t>
  </si>
  <si>
    <t>Virden area GridMET (32.6750N, 108.9813W)</t>
  </si>
  <si>
    <t>San Simon Area GridMET (31.8429N, 109.0273W)</t>
  </si>
  <si>
    <t>r5t6Y&amp;U*</t>
  </si>
  <si>
    <t>Luna Area GridMet data (33.8201N,108.9542W)</t>
  </si>
  <si>
    <t>Reserve Area GridMet data (33.7128N,108.7564W)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</si>
</sst>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2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vertAlign val="superscript"/>
      <sz val="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0"/>
      <color indexed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10"/>
      <color theme="1"/>
      <name val="Arial"/>
      <family val="2"/>
    </font>
    <font>
      <u/>
      <sz val="12"/>
      <color theme="10"/>
      <name val="Arial"/>
      <family val="2"/>
    </font>
    <font>
      <b/>
      <sz val="10"/>
      <color rgb="FF00B050"/>
      <name val="Arial"/>
      <family val="2"/>
    </font>
    <font>
      <sz val="10"/>
      <color theme="10"/>
      <name val="Arial"/>
      <family val="2"/>
    </font>
    <font>
      <sz val="12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6" fillId="0" borderId="0" xfId="0" applyFont="1" applyAlignment="1">
      <alignment vertical="center"/>
    </xf>
    <xf numFmtId="164" fontId="2" fillId="0" borderId="0" xfId="0" applyNumberFormat="1" applyFont="1"/>
    <xf numFmtId="0" fontId="12" fillId="0" borderId="0" xfId="0" applyFont="1"/>
    <xf numFmtId="0" fontId="13" fillId="0" borderId="0" xfId="1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64" fontId="10" fillId="0" borderId="0" xfId="0" applyNumberFormat="1" applyFont="1"/>
    <xf numFmtId="0" fontId="5" fillId="0" borderId="0" xfId="0" applyFont="1"/>
    <xf numFmtId="16" fontId="0" fillId="0" borderId="0" xfId="0" applyNumberFormat="1"/>
    <xf numFmtId="2" fontId="14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climateengine.org/climateEngine#licenseModal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arthengine.google.com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377</xdr:row>
      <xdr:rowOff>0</xdr:rowOff>
    </xdr:from>
    <xdr:to>
      <xdr:col>23</xdr:col>
      <xdr:colOff>304800</xdr:colOff>
      <xdr:row>382</xdr:row>
      <xdr:rowOff>76200</xdr:rowOff>
    </xdr:to>
    <xdr:pic>
      <xdr:nvPicPr>
        <xdr:cNvPr id="2" name="Picture 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FC90922E-8BCE-7798-02D5-438F11BDC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71247000"/>
          <a:ext cx="48768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379</xdr:row>
      <xdr:rowOff>0</xdr:rowOff>
    </xdr:from>
    <xdr:to>
      <xdr:col>18</xdr:col>
      <xdr:colOff>0</xdr:colOff>
      <xdr:row>379</xdr:row>
      <xdr:rowOff>142875</xdr:rowOff>
    </xdr:to>
    <xdr:pic>
      <xdr:nvPicPr>
        <xdr:cNvPr id="3" name="Picture 2" descr="Creative Commons License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E3163E2-BE66-9194-DD9C-A6198F49C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71628000"/>
          <a:ext cx="7620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ilacheck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rcc.dri.edu/cgi-bin/rawMAIN.pl?nmXSL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rcc.dri.edu/cgi-bin/rawMAIN.pl?nmXSL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73"/>
  <sheetViews>
    <sheetView tabSelected="1" topLeftCell="A159" zoomScaleNormal="100" workbookViewId="0">
      <selection activeCell="B176" sqref="B176"/>
    </sheetView>
  </sheetViews>
  <sheetFormatPr defaultColWidth="8.88671875" defaultRowHeight="15" customHeight="1" x14ac:dyDescent="0.2"/>
  <cols>
    <col min="1" max="1" width="6.44140625" style="1" customWidth="1"/>
    <col min="2" max="13" width="6" style="1" customWidth="1"/>
    <col min="14" max="21" width="8.88671875" style="1"/>
    <col min="22" max="34" width="6" style="1" customWidth="1"/>
    <col min="35" max="16384" width="8.88671875" style="1"/>
  </cols>
  <sheetData>
    <row r="1" spans="1:15" s="2" customFormat="1" ht="15" customHeight="1" x14ac:dyDescent="0.2">
      <c r="A1" s="2" t="s">
        <v>0</v>
      </c>
      <c r="B1" s="2" t="s">
        <v>1</v>
      </c>
      <c r="E1" s="13"/>
      <c r="H1" s="13"/>
    </row>
    <row r="2" spans="1:15" s="2" customFormat="1" ht="15" customHeight="1" x14ac:dyDescent="0.2"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  <c r="O2" s="1"/>
    </row>
    <row r="3" spans="1:15" ht="15" customHeight="1" x14ac:dyDescent="0.2">
      <c r="A3" s="1">
        <v>1968</v>
      </c>
      <c r="B3" s="4">
        <v>0.27</v>
      </c>
      <c r="C3" s="4">
        <v>0.59</v>
      </c>
      <c r="D3" s="4">
        <v>0.86</v>
      </c>
      <c r="E3" s="4">
        <v>0.55000000000000004</v>
      </c>
      <c r="F3" s="4">
        <v>0.01</v>
      </c>
      <c r="G3" s="4">
        <v>0.7</v>
      </c>
      <c r="H3" s="4">
        <v>2.38</v>
      </c>
      <c r="I3" s="4">
        <v>2.88</v>
      </c>
      <c r="J3" s="4">
        <v>0.45</v>
      </c>
      <c r="K3" s="4">
        <v>0.47</v>
      </c>
      <c r="L3" s="4">
        <v>0.79</v>
      </c>
      <c r="M3" s="4">
        <v>0.52</v>
      </c>
    </row>
    <row r="4" spans="1:15" ht="15" customHeight="1" x14ac:dyDescent="0.2">
      <c r="A4" s="1">
        <v>1969</v>
      </c>
      <c r="B4" s="4">
        <v>0.12</v>
      </c>
      <c r="C4" s="4">
        <v>0.03</v>
      </c>
      <c r="D4" s="4">
        <v>0.24</v>
      </c>
      <c r="E4" s="4">
        <v>0.04</v>
      </c>
      <c r="F4" s="4">
        <v>0.83</v>
      </c>
      <c r="G4" s="4">
        <v>0.12</v>
      </c>
      <c r="H4" s="4">
        <v>2.35</v>
      </c>
      <c r="I4" s="4">
        <v>4.1900000000000004</v>
      </c>
      <c r="J4" s="4">
        <v>1.33</v>
      </c>
      <c r="K4" s="4">
        <v>1.22</v>
      </c>
      <c r="L4" s="4">
        <v>0</v>
      </c>
      <c r="M4" s="4">
        <v>1.35</v>
      </c>
    </row>
    <row r="5" spans="1:15" ht="15" customHeight="1" x14ac:dyDescent="0.2">
      <c r="A5" s="1">
        <v>1970</v>
      </c>
      <c r="B5" s="4">
        <v>0.04</v>
      </c>
      <c r="C5" s="4">
        <v>0.45</v>
      </c>
      <c r="D5" s="4">
        <v>1.33</v>
      </c>
      <c r="E5" s="4">
        <v>0.37</v>
      </c>
      <c r="F5" s="4">
        <v>0.56000000000000005</v>
      </c>
      <c r="G5" s="4">
        <v>0.76</v>
      </c>
      <c r="H5" s="4">
        <v>4.42</v>
      </c>
      <c r="I5" s="4">
        <v>2.42</v>
      </c>
      <c r="J5" s="4">
        <v>0.14000000000000001</v>
      </c>
      <c r="K5" s="4">
        <v>2.64</v>
      </c>
      <c r="L5" s="4">
        <v>0</v>
      </c>
      <c r="M5" s="4">
        <v>0.36</v>
      </c>
    </row>
    <row r="6" spans="1:15" ht="15" customHeight="1" x14ac:dyDescent="0.2">
      <c r="A6" s="1">
        <v>1971</v>
      </c>
      <c r="B6" s="4">
        <v>0.06</v>
      </c>
      <c r="C6" s="4">
        <v>0.31</v>
      </c>
      <c r="D6" s="4">
        <v>0.04</v>
      </c>
      <c r="E6" s="4">
        <v>0.66</v>
      </c>
      <c r="F6" s="4">
        <v>0.04</v>
      </c>
      <c r="G6" s="4">
        <v>0</v>
      </c>
      <c r="H6" s="4">
        <v>1.95</v>
      </c>
      <c r="I6" s="4">
        <v>3.13</v>
      </c>
      <c r="J6" s="4">
        <v>1.91</v>
      </c>
      <c r="K6" s="4">
        <v>4.88</v>
      </c>
      <c r="L6" s="4">
        <v>0.6</v>
      </c>
      <c r="M6" s="4">
        <v>1.68</v>
      </c>
    </row>
    <row r="7" spans="1:15" ht="15" customHeight="1" x14ac:dyDescent="0.2">
      <c r="A7" s="1">
        <v>1972</v>
      </c>
      <c r="B7" s="4">
        <v>0.02</v>
      </c>
      <c r="C7" s="4">
        <v>0</v>
      </c>
      <c r="D7" s="4">
        <v>0</v>
      </c>
      <c r="E7" s="4">
        <v>0</v>
      </c>
      <c r="F7" s="4">
        <v>0.45</v>
      </c>
      <c r="G7" s="4">
        <v>1.49</v>
      </c>
      <c r="H7" s="4">
        <v>2.08</v>
      </c>
      <c r="I7" s="4">
        <v>4.2699999999999996</v>
      </c>
      <c r="J7" s="4">
        <v>1.07</v>
      </c>
      <c r="K7" s="4">
        <v>6.11</v>
      </c>
      <c r="L7" s="4">
        <v>0.53</v>
      </c>
      <c r="M7" s="4">
        <v>1.03</v>
      </c>
    </row>
    <row r="8" spans="1:15" ht="15" customHeight="1" x14ac:dyDescent="0.2">
      <c r="A8" s="1">
        <v>1973</v>
      </c>
      <c r="B8" s="4">
        <v>1.57</v>
      </c>
      <c r="C8" s="4">
        <v>1.91</v>
      </c>
      <c r="D8" s="4">
        <v>1.41</v>
      </c>
      <c r="E8" s="4">
        <v>0.44</v>
      </c>
      <c r="F8" s="4">
        <v>1.42</v>
      </c>
      <c r="G8" s="4">
        <v>0.56999999999999995</v>
      </c>
      <c r="H8" s="4">
        <v>3.04</v>
      </c>
      <c r="I8" s="4">
        <v>2.42</v>
      </c>
      <c r="J8" s="4">
        <v>0.19</v>
      </c>
      <c r="K8" s="4">
        <v>0</v>
      </c>
      <c r="L8" s="4">
        <v>0.16</v>
      </c>
      <c r="M8" s="4">
        <v>0.08</v>
      </c>
    </row>
    <row r="9" spans="1:15" ht="15" customHeight="1" x14ac:dyDescent="0.2">
      <c r="A9" s="1">
        <v>1974</v>
      </c>
      <c r="B9" s="4">
        <v>1.1000000000000001</v>
      </c>
      <c r="C9" s="4">
        <v>0.01</v>
      </c>
      <c r="D9" s="4">
        <v>0.8</v>
      </c>
      <c r="E9" s="4">
        <v>0.15</v>
      </c>
      <c r="F9" s="4">
        <v>0.01</v>
      </c>
      <c r="G9" s="4">
        <v>0</v>
      </c>
      <c r="H9" s="4">
        <v>3.05</v>
      </c>
      <c r="I9" s="4">
        <v>2.04</v>
      </c>
      <c r="J9" s="4">
        <v>1.7</v>
      </c>
      <c r="K9" s="4">
        <v>4.1500000000000004</v>
      </c>
      <c r="L9" s="4">
        <v>0.23</v>
      </c>
      <c r="M9" s="4">
        <v>0.19</v>
      </c>
    </row>
    <row r="10" spans="1:15" ht="15" customHeight="1" x14ac:dyDescent="0.2">
      <c r="A10" s="1">
        <v>1975</v>
      </c>
      <c r="B10" s="4">
        <v>1.53</v>
      </c>
      <c r="C10" s="4">
        <v>0.26</v>
      </c>
      <c r="D10" s="4">
        <v>1.19</v>
      </c>
      <c r="E10" s="4">
        <v>0.34</v>
      </c>
      <c r="F10" s="4">
        <v>0.31</v>
      </c>
      <c r="G10" s="4">
        <v>0.06</v>
      </c>
      <c r="H10" s="4">
        <v>3.88</v>
      </c>
      <c r="I10" s="4">
        <v>1.01</v>
      </c>
      <c r="J10" s="4">
        <v>4.38</v>
      </c>
      <c r="K10" s="4">
        <v>0.42</v>
      </c>
      <c r="L10" s="4">
        <v>0.43</v>
      </c>
      <c r="M10" s="4">
        <v>0.51</v>
      </c>
    </row>
    <row r="11" spans="1:15" ht="15" customHeight="1" x14ac:dyDescent="0.2">
      <c r="A11" s="1">
        <v>1976</v>
      </c>
      <c r="B11" s="4">
        <v>0.12</v>
      </c>
      <c r="C11" s="4">
        <v>1.67</v>
      </c>
      <c r="D11" s="4">
        <v>0.99</v>
      </c>
      <c r="E11" s="4">
        <v>0.47</v>
      </c>
      <c r="F11" s="4">
        <v>0.88</v>
      </c>
      <c r="G11" s="4">
        <v>0.3</v>
      </c>
      <c r="H11" s="4">
        <v>3.82</v>
      </c>
      <c r="I11" s="4">
        <v>1.64</v>
      </c>
      <c r="J11" s="4">
        <v>1.1000000000000001</v>
      </c>
      <c r="K11" s="4">
        <v>0.75</v>
      </c>
      <c r="L11" s="4">
        <v>0.42</v>
      </c>
      <c r="M11" s="4">
        <v>0.01</v>
      </c>
    </row>
    <row r="12" spans="1:15" ht="15" customHeight="1" x14ac:dyDescent="0.2">
      <c r="A12" s="1">
        <v>1977</v>
      </c>
      <c r="B12" s="4">
        <v>0.37</v>
      </c>
      <c r="C12" s="4">
        <v>0.4</v>
      </c>
      <c r="D12" s="4">
        <v>0.86</v>
      </c>
      <c r="E12" s="4">
        <v>0.79</v>
      </c>
      <c r="F12" s="4">
        <v>0.06</v>
      </c>
      <c r="G12" s="4">
        <v>0.5</v>
      </c>
      <c r="H12" s="4">
        <v>4.6399999999999997</v>
      </c>
      <c r="I12" s="4">
        <v>4.43</v>
      </c>
      <c r="J12" s="4">
        <v>2.17</v>
      </c>
      <c r="K12" s="4">
        <v>1.45</v>
      </c>
      <c r="L12" s="4">
        <v>0.03</v>
      </c>
      <c r="M12" s="4">
        <v>0.19</v>
      </c>
    </row>
    <row r="13" spans="1:15" ht="15" customHeight="1" x14ac:dyDescent="0.2">
      <c r="A13" s="1">
        <v>1978</v>
      </c>
      <c r="B13" s="4">
        <v>1.54</v>
      </c>
      <c r="C13" s="4">
        <v>1.03</v>
      </c>
      <c r="D13" s="4">
        <v>1.79</v>
      </c>
      <c r="E13" s="4">
        <v>0.21</v>
      </c>
      <c r="F13" s="4">
        <v>0.47</v>
      </c>
      <c r="G13" s="4">
        <v>0.93</v>
      </c>
      <c r="H13" s="4">
        <v>3.1</v>
      </c>
      <c r="I13" s="4">
        <v>4.05</v>
      </c>
      <c r="J13" s="4">
        <v>1.5</v>
      </c>
      <c r="K13" s="4">
        <v>1.83</v>
      </c>
      <c r="L13" s="4">
        <v>4.13</v>
      </c>
      <c r="M13" s="4">
        <v>1.03</v>
      </c>
    </row>
    <row r="14" spans="1:15" ht="15" customHeight="1" x14ac:dyDescent="0.2">
      <c r="A14" s="1">
        <v>1979</v>
      </c>
      <c r="B14" s="4">
        <v>2.74</v>
      </c>
      <c r="C14" s="4">
        <v>0.51</v>
      </c>
      <c r="D14" s="4">
        <v>0.35</v>
      </c>
      <c r="E14" s="4">
        <v>0.11</v>
      </c>
      <c r="F14" s="4">
        <v>1.05</v>
      </c>
      <c r="G14" s="4">
        <v>0.69</v>
      </c>
      <c r="H14" s="4">
        <v>2.21</v>
      </c>
      <c r="I14" s="4">
        <v>2.0099999999999998</v>
      </c>
      <c r="J14" s="4">
        <v>0.83</v>
      </c>
      <c r="K14" s="4">
        <v>0.55000000000000004</v>
      </c>
      <c r="L14" s="4">
        <v>0.92</v>
      </c>
      <c r="M14" s="4">
        <v>1.67</v>
      </c>
    </row>
    <row r="15" spans="1:15" ht="15" customHeight="1" x14ac:dyDescent="0.2">
      <c r="A15" s="1">
        <v>1980</v>
      </c>
      <c r="B15" s="4">
        <v>1.92</v>
      </c>
      <c r="C15" s="4">
        <v>3.29</v>
      </c>
      <c r="D15" s="4">
        <v>0.66</v>
      </c>
      <c r="E15" s="4">
        <v>0.51</v>
      </c>
      <c r="F15" s="4">
        <v>0.92</v>
      </c>
      <c r="G15" s="4">
        <v>0.03</v>
      </c>
      <c r="H15" s="4">
        <v>1.53</v>
      </c>
      <c r="I15" s="4">
        <v>2.77</v>
      </c>
      <c r="J15" s="4">
        <v>1.77</v>
      </c>
      <c r="K15" s="4">
        <v>0.7</v>
      </c>
      <c r="L15" s="4">
        <v>0.46</v>
      </c>
      <c r="M15" s="4">
        <v>0.42</v>
      </c>
    </row>
    <row r="16" spans="1:15" ht="15" customHeight="1" x14ac:dyDescent="0.2">
      <c r="A16" s="1">
        <v>1981</v>
      </c>
      <c r="B16" s="4">
        <v>0.63</v>
      </c>
      <c r="C16" s="4">
        <v>0</v>
      </c>
      <c r="D16" s="4">
        <v>2.5299999999999998</v>
      </c>
      <c r="E16" s="4">
        <v>0.41</v>
      </c>
      <c r="F16" s="4">
        <v>0.24</v>
      </c>
      <c r="G16" s="4">
        <v>0.31</v>
      </c>
      <c r="H16" s="4">
        <v>3.77</v>
      </c>
      <c r="I16" s="4">
        <v>3.26</v>
      </c>
      <c r="J16" s="4">
        <v>3.15</v>
      </c>
      <c r="K16" s="4">
        <v>0.81</v>
      </c>
      <c r="L16" s="4">
        <v>0.52</v>
      </c>
      <c r="M16" s="4">
        <v>0</v>
      </c>
    </row>
    <row r="17" spans="1:13" ht="15" customHeight="1" x14ac:dyDescent="0.2">
      <c r="A17" s="1">
        <v>1982</v>
      </c>
      <c r="B17" s="4">
        <v>0.68</v>
      </c>
      <c r="C17" s="4">
        <v>1.35</v>
      </c>
      <c r="D17" s="4">
        <v>1.43</v>
      </c>
      <c r="E17" s="4">
        <v>0.19</v>
      </c>
      <c r="F17" s="4">
        <v>1.03</v>
      </c>
      <c r="G17" s="4">
        <v>0.1</v>
      </c>
      <c r="H17" s="4">
        <v>2.0499999999999998</v>
      </c>
      <c r="I17" s="4">
        <v>4.57</v>
      </c>
      <c r="J17" s="4">
        <v>0.73</v>
      </c>
      <c r="K17" s="4">
        <v>0.03</v>
      </c>
      <c r="L17" s="4">
        <v>2.16</v>
      </c>
      <c r="M17" s="4">
        <v>2.11</v>
      </c>
    </row>
    <row r="18" spans="1:13" ht="15" customHeight="1" x14ac:dyDescent="0.2">
      <c r="A18" s="1">
        <v>1983</v>
      </c>
      <c r="B18" s="4">
        <v>1.82</v>
      </c>
      <c r="C18" s="4">
        <v>0.93</v>
      </c>
      <c r="D18" s="4">
        <v>1.94</v>
      </c>
      <c r="E18" s="4">
        <v>0.25</v>
      </c>
      <c r="F18" s="4">
        <v>0.01</v>
      </c>
      <c r="G18" s="4">
        <v>0.66</v>
      </c>
      <c r="H18" s="4">
        <v>4.01</v>
      </c>
      <c r="I18" s="4">
        <v>5.68</v>
      </c>
      <c r="J18" s="4">
        <v>6.16</v>
      </c>
      <c r="K18" s="4">
        <v>3.33</v>
      </c>
      <c r="L18" s="4">
        <v>1.3</v>
      </c>
      <c r="M18" s="4">
        <v>0.63</v>
      </c>
    </row>
    <row r="19" spans="1:13" ht="15" customHeight="1" x14ac:dyDescent="0.2">
      <c r="A19" s="1">
        <v>1984</v>
      </c>
      <c r="B19" s="4">
        <v>0.8</v>
      </c>
      <c r="C19" s="4">
        <v>0</v>
      </c>
      <c r="D19" s="4">
        <v>0.11</v>
      </c>
      <c r="E19" s="4">
        <v>0.35</v>
      </c>
      <c r="F19" s="4">
        <v>0.36</v>
      </c>
      <c r="G19" s="4">
        <v>0.72</v>
      </c>
      <c r="H19" s="4">
        <v>4.7699999999999996</v>
      </c>
      <c r="I19" s="4">
        <v>4.3099999999999996</v>
      </c>
      <c r="J19" s="4">
        <v>2.72</v>
      </c>
      <c r="K19" s="4">
        <v>2.83</v>
      </c>
      <c r="L19" s="4">
        <v>0.14000000000000001</v>
      </c>
      <c r="M19" s="4">
        <v>3.69</v>
      </c>
    </row>
    <row r="20" spans="1:13" ht="15" customHeight="1" x14ac:dyDescent="0.2">
      <c r="A20" s="1">
        <v>1985</v>
      </c>
      <c r="B20" s="4">
        <v>1.41</v>
      </c>
      <c r="C20" s="4">
        <v>0.62</v>
      </c>
      <c r="D20" s="4">
        <v>1.05</v>
      </c>
      <c r="E20" s="4">
        <v>1.02</v>
      </c>
      <c r="F20" s="4">
        <v>0.31</v>
      </c>
      <c r="G20" s="4">
        <v>0.9</v>
      </c>
      <c r="H20" s="4">
        <v>2.76</v>
      </c>
      <c r="I20" s="4">
        <v>2.58</v>
      </c>
      <c r="J20" s="4">
        <v>3.24</v>
      </c>
      <c r="K20" s="4">
        <v>1.04</v>
      </c>
      <c r="L20" s="4">
        <v>1.23</v>
      </c>
      <c r="M20" s="4">
        <v>0.46</v>
      </c>
    </row>
    <row r="21" spans="1:13" ht="15" customHeight="1" x14ac:dyDescent="0.2">
      <c r="A21" s="1">
        <v>1986</v>
      </c>
      <c r="B21" s="4">
        <v>0.05</v>
      </c>
      <c r="C21" s="4">
        <v>2.29</v>
      </c>
      <c r="D21" s="4">
        <v>0.92</v>
      </c>
      <c r="E21" s="4">
        <v>0.2</v>
      </c>
      <c r="F21" s="4">
        <v>0.31</v>
      </c>
      <c r="G21" s="4">
        <v>1.69</v>
      </c>
      <c r="H21" s="4">
        <v>3.76</v>
      </c>
      <c r="I21" s="4">
        <v>4.9400000000000004</v>
      </c>
      <c r="J21" s="4">
        <v>1.27</v>
      </c>
      <c r="K21" s="4">
        <v>2.06</v>
      </c>
      <c r="L21" s="4">
        <v>2.8</v>
      </c>
      <c r="M21" s="4">
        <v>1.73</v>
      </c>
    </row>
    <row r="22" spans="1:13" ht="15" customHeight="1" x14ac:dyDescent="0.2">
      <c r="A22" s="1">
        <v>1987</v>
      </c>
      <c r="B22" s="4">
        <v>0.94</v>
      </c>
      <c r="C22" s="4">
        <v>1.5</v>
      </c>
      <c r="D22" s="4">
        <v>0.46</v>
      </c>
      <c r="E22" s="4">
        <v>0.34</v>
      </c>
      <c r="F22" s="4">
        <v>1.72</v>
      </c>
      <c r="G22" s="4">
        <v>1.0900000000000001</v>
      </c>
      <c r="H22" s="4">
        <v>3.65</v>
      </c>
      <c r="I22" s="4">
        <v>2.74</v>
      </c>
      <c r="J22" s="4">
        <v>1.32</v>
      </c>
      <c r="K22" s="4">
        <v>1.08</v>
      </c>
      <c r="L22" s="4">
        <v>1.62</v>
      </c>
      <c r="M22" s="4">
        <v>2.12</v>
      </c>
    </row>
    <row r="23" spans="1:13" ht="15" customHeight="1" x14ac:dyDescent="0.2">
      <c r="A23" s="1">
        <v>1988</v>
      </c>
      <c r="B23" s="4">
        <v>0.71</v>
      </c>
      <c r="C23" s="4">
        <v>1.29</v>
      </c>
      <c r="D23" s="4">
        <v>0.01</v>
      </c>
      <c r="E23" s="4">
        <v>2.04</v>
      </c>
      <c r="F23" s="4">
        <v>0.1</v>
      </c>
      <c r="G23" s="4">
        <v>1.17</v>
      </c>
      <c r="H23" s="4">
        <v>3.05</v>
      </c>
      <c r="I23" s="4">
        <v>4.78</v>
      </c>
      <c r="J23" s="4">
        <v>3.43</v>
      </c>
      <c r="K23" s="4">
        <v>1.71</v>
      </c>
      <c r="L23" s="4">
        <v>0.26</v>
      </c>
      <c r="M23" s="4">
        <v>0.75</v>
      </c>
    </row>
    <row r="24" spans="1:13" ht="15" customHeight="1" x14ac:dyDescent="0.2">
      <c r="A24" s="1">
        <v>1989</v>
      </c>
      <c r="B24" s="4">
        <v>1.3</v>
      </c>
      <c r="C24" s="4">
        <v>0.2</v>
      </c>
      <c r="D24" s="4">
        <v>0.55000000000000004</v>
      </c>
      <c r="E24" s="4">
        <v>0</v>
      </c>
      <c r="F24" s="4">
        <v>0.28000000000000003</v>
      </c>
      <c r="G24" s="4">
        <v>0</v>
      </c>
      <c r="H24" s="4">
        <v>2.71</v>
      </c>
      <c r="I24" s="4">
        <v>1.23</v>
      </c>
      <c r="J24" s="4">
        <v>1.29</v>
      </c>
      <c r="K24" s="4">
        <v>2.4</v>
      </c>
      <c r="L24" s="4">
        <v>0.15</v>
      </c>
      <c r="M24" s="4">
        <v>0.28000000000000003</v>
      </c>
    </row>
    <row r="25" spans="1:13" ht="15" customHeight="1" x14ac:dyDescent="0.2">
      <c r="A25" s="1">
        <v>1990</v>
      </c>
      <c r="B25" s="4">
        <v>0.51</v>
      </c>
      <c r="C25" s="4">
        <v>0.55000000000000004</v>
      </c>
      <c r="D25" s="4">
        <v>0.28999999999999998</v>
      </c>
      <c r="E25" s="4">
        <v>0.39</v>
      </c>
      <c r="F25" s="4">
        <v>0.72</v>
      </c>
      <c r="G25" s="4">
        <v>0.4</v>
      </c>
      <c r="H25" s="4">
        <v>4.2300000000000004</v>
      </c>
      <c r="I25" s="4">
        <v>4.5199999999999996</v>
      </c>
      <c r="J25" s="4">
        <v>3.17</v>
      </c>
      <c r="K25" s="4">
        <v>0.6</v>
      </c>
      <c r="L25" s="4">
        <v>2.69</v>
      </c>
      <c r="M25" s="4">
        <v>1.44</v>
      </c>
    </row>
    <row r="26" spans="1:13" ht="15" customHeight="1" x14ac:dyDescent="0.2">
      <c r="A26" s="1">
        <v>1991</v>
      </c>
      <c r="B26" s="4">
        <v>0.81</v>
      </c>
      <c r="C26" s="4">
        <v>0.84</v>
      </c>
      <c r="D26" s="4">
        <v>1.96</v>
      </c>
      <c r="E26" s="4">
        <v>0</v>
      </c>
      <c r="F26" s="4">
        <v>0</v>
      </c>
      <c r="G26" s="4">
        <v>0.88</v>
      </c>
      <c r="H26" s="4">
        <v>4.5</v>
      </c>
      <c r="I26" s="4">
        <v>2.39</v>
      </c>
      <c r="J26" s="4">
        <v>2.91</v>
      </c>
      <c r="K26" s="4">
        <v>0.6</v>
      </c>
      <c r="L26" s="4">
        <v>2.17</v>
      </c>
      <c r="M26" s="4">
        <v>2.46</v>
      </c>
    </row>
    <row r="27" spans="1:13" ht="15" customHeight="1" x14ac:dyDescent="0.2">
      <c r="A27" s="1">
        <v>1992</v>
      </c>
      <c r="B27" s="4">
        <v>1.32</v>
      </c>
      <c r="C27" s="4">
        <v>0.71</v>
      </c>
      <c r="D27" s="4">
        <v>1.24</v>
      </c>
      <c r="E27" s="4">
        <v>0.26</v>
      </c>
      <c r="F27" s="4">
        <v>5.89</v>
      </c>
      <c r="G27" s="4">
        <v>0.53</v>
      </c>
      <c r="H27" s="4">
        <v>1.86</v>
      </c>
      <c r="I27" s="4">
        <v>3.96</v>
      </c>
      <c r="J27" s="4">
        <v>0.56999999999999995</v>
      </c>
      <c r="K27" s="4">
        <v>2.48</v>
      </c>
      <c r="L27" s="4">
        <v>0.52</v>
      </c>
      <c r="M27" s="4">
        <v>2.8</v>
      </c>
    </row>
    <row r="28" spans="1:13" ht="15" customHeight="1" x14ac:dyDescent="0.2">
      <c r="A28" s="1">
        <v>1993</v>
      </c>
      <c r="B28" s="4">
        <v>3.96</v>
      </c>
      <c r="C28" s="4">
        <v>2.14</v>
      </c>
      <c r="D28" s="4">
        <v>1.1100000000000001</v>
      </c>
      <c r="E28" s="4">
        <v>0</v>
      </c>
      <c r="F28" s="4">
        <v>0.97</v>
      </c>
      <c r="G28" s="4">
        <v>0.49</v>
      </c>
      <c r="H28" s="4">
        <v>0.39</v>
      </c>
      <c r="I28" s="4">
        <v>4.9000000000000004</v>
      </c>
      <c r="J28" s="4">
        <v>1.63</v>
      </c>
      <c r="K28" s="4">
        <v>1.65</v>
      </c>
      <c r="L28" s="4">
        <v>0.47</v>
      </c>
      <c r="M28" s="4">
        <v>0.04</v>
      </c>
    </row>
    <row r="29" spans="1:13" ht="15" customHeight="1" x14ac:dyDescent="0.2">
      <c r="A29" s="1">
        <v>1994</v>
      </c>
      <c r="B29" s="4">
        <v>0.33</v>
      </c>
      <c r="C29" s="4">
        <v>1.37</v>
      </c>
      <c r="D29" s="4">
        <v>1.08</v>
      </c>
      <c r="E29" s="4">
        <v>0</v>
      </c>
      <c r="F29" s="4">
        <v>1.43</v>
      </c>
      <c r="G29" s="4">
        <v>0.15</v>
      </c>
      <c r="H29" s="4">
        <v>1.21</v>
      </c>
      <c r="I29" s="4">
        <v>3.42</v>
      </c>
      <c r="J29" s="4">
        <v>2.56</v>
      </c>
      <c r="K29" s="4">
        <v>2.09</v>
      </c>
      <c r="L29" s="4">
        <v>3.87</v>
      </c>
      <c r="M29" s="4">
        <v>1.68</v>
      </c>
    </row>
    <row r="30" spans="1:13" ht="15" customHeight="1" x14ac:dyDescent="0.2">
      <c r="A30" s="1">
        <v>1995</v>
      </c>
      <c r="B30" s="4">
        <v>1.61</v>
      </c>
      <c r="C30" s="4">
        <v>0.63</v>
      </c>
      <c r="D30" s="4">
        <v>1.06</v>
      </c>
      <c r="E30" s="4">
        <v>0.1</v>
      </c>
      <c r="F30" s="4">
        <v>0.57999999999999996</v>
      </c>
      <c r="G30" s="4">
        <v>0.36</v>
      </c>
      <c r="H30" s="4">
        <v>1.23</v>
      </c>
      <c r="I30" s="4">
        <v>2.7</v>
      </c>
      <c r="J30" s="4">
        <v>2.76</v>
      </c>
      <c r="K30" s="4">
        <v>0</v>
      </c>
      <c r="L30" s="4">
        <v>0.6</v>
      </c>
      <c r="M30" s="4">
        <v>0.31</v>
      </c>
    </row>
    <row r="31" spans="1:13" ht="15" customHeight="1" x14ac:dyDescent="0.2">
      <c r="A31" s="1">
        <v>1996</v>
      </c>
      <c r="B31" s="4">
        <v>0.09</v>
      </c>
      <c r="C31" s="4">
        <v>0.91</v>
      </c>
      <c r="D31" s="4">
        <v>0</v>
      </c>
      <c r="E31" s="4">
        <v>0</v>
      </c>
      <c r="F31" s="4">
        <v>0.05</v>
      </c>
      <c r="G31" s="4">
        <v>1.0900000000000001</v>
      </c>
      <c r="H31" s="4">
        <v>2.92</v>
      </c>
      <c r="I31" s="4">
        <v>6.64</v>
      </c>
      <c r="J31" s="4">
        <v>2.38</v>
      </c>
      <c r="K31" s="4">
        <v>3.32</v>
      </c>
      <c r="L31" s="4">
        <v>0.28000000000000003</v>
      </c>
      <c r="M31" s="4">
        <v>0</v>
      </c>
    </row>
    <row r="32" spans="1:13" ht="15" customHeight="1" x14ac:dyDescent="0.2">
      <c r="A32" s="1">
        <v>1997</v>
      </c>
      <c r="B32" s="4">
        <v>1.59</v>
      </c>
      <c r="C32" s="4">
        <v>1.51</v>
      </c>
      <c r="D32" s="4">
        <v>0.2</v>
      </c>
      <c r="E32" s="4">
        <v>0.42</v>
      </c>
      <c r="F32" s="4">
        <v>2.21</v>
      </c>
      <c r="G32" s="4">
        <v>1.34</v>
      </c>
      <c r="H32" s="4">
        <v>3.32</v>
      </c>
      <c r="I32" s="4">
        <v>4.3099999999999996</v>
      </c>
      <c r="J32" s="4">
        <v>2.88</v>
      </c>
      <c r="K32" s="4">
        <v>1.81</v>
      </c>
      <c r="L32" s="4">
        <v>0.69</v>
      </c>
      <c r="M32" s="4">
        <v>2.2400000000000002</v>
      </c>
    </row>
    <row r="33" spans="1:29" ht="15" customHeight="1" x14ac:dyDescent="0.2">
      <c r="A33" s="1">
        <v>1998</v>
      </c>
      <c r="B33" s="4">
        <v>0.46</v>
      </c>
      <c r="C33" s="4">
        <v>0.97</v>
      </c>
      <c r="D33" s="4">
        <v>1.62</v>
      </c>
      <c r="E33" s="4">
        <v>0.53</v>
      </c>
      <c r="F33" s="4">
        <v>0.08</v>
      </c>
      <c r="G33" s="4">
        <v>0.54</v>
      </c>
      <c r="H33" s="4">
        <v>7.7</v>
      </c>
      <c r="I33" s="4">
        <v>4.59</v>
      </c>
      <c r="J33" s="4">
        <v>0.65</v>
      </c>
      <c r="K33" s="4">
        <v>2.83</v>
      </c>
      <c r="L33" s="4">
        <v>1.58</v>
      </c>
      <c r="M33" s="4">
        <v>0.66</v>
      </c>
    </row>
    <row r="34" spans="1:29" ht="15" customHeight="1" x14ac:dyDescent="0.2">
      <c r="A34" s="1">
        <v>1999</v>
      </c>
      <c r="B34" s="4">
        <v>0.15</v>
      </c>
      <c r="C34" s="4">
        <v>0.1</v>
      </c>
      <c r="D34" s="4">
        <v>0.48</v>
      </c>
      <c r="E34" s="4">
        <v>7.0000000000000007E-2</v>
      </c>
      <c r="F34" s="4">
        <v>0.21</v>
      </c>
      <c r="G34" s="4">
        <v>0.78</v>
      </c>
      <c r="H34" s="4">
        <v>4.7300000000000004</v>
      </c>
      <c r="I34" s="4">
        <v>7.17</v>
      </c>
      <c r="J34" s="4">
        <v>3.46</v>
      </c>
      <c r="K34" s="4">
        <v>0</v>
      </c>
      <c r="L34" s="4">
        <v>0</v>
      </c>
      <c r="M34" s="4">
        <v>0.02</v>
      </c>
    </row>
    <row r="35" spans="1:29" ht="15" customHeight="1" x14ac:dyDescent="0.2">
      <c r="A35" s="1">
        <v>2000</v>
      </c>
      <c r="B35" s="4">
        <v>0.05</v>
      </c>
      <c r="C35" s="4">
        <v>0.18</v>
      </c>
      <c r="D35" s="4">
        <v>1.27</v>
      </c>
      <c r="E35" s="4">
        <v>0</v>
      </c>
      <c r="F35" s="4">
        <v>0</v>
      </c>
      <c r="G35" s="4">
        <v>1.25</v>
      </c>
      <c r="H35" s="4">
        <v>1.84</v>
      </c>
      <c r="I35" s="4">
        <v>5.69</v>
      </c>
      <c r="J35" s="4">
        <v>0.59</v>
      </c>
      <c r="K35" s="4">
        <v>7.66</v>
      </c>
      <c r="L35" s="4">
        <v>0.9</v>
      </c>
      <c r="M35" s="4">
        <v>0.11</v>
      </c>
    </row>
    <row r="36" spans="1:29" ht="15" customHeight="1" x14ac:dyDescent="0.2">
      <c r="A36" s="1">
        <v>2001</v>
      </c>
      <c r="B36" s="4">
        <v>1.24</v>
      </c>
      <c r="C36" s="4">
        <v>0.77</v>
      </c>
      <c r="D36" s="4">
        <v>0.3</v>
      </c>
      <c r="E36" s="4">
        <v>1.0900000000000001</v>
      </c>
      <c r="F36" s="4">
        <v>0.69</v>
      </c>
      <c r="G36" s="4">
        <v>0.52</v>
      </c>
      <c r="H36" s="4">
        <v>4.46</v>
      </c>
      <c r="I36" s="4">
        <v>3.48</v>
      </c>
      <c r="J36" s="4">
        <v>0.16</v>
      </c>
      <c r="K36" s="4">
        <v>0.56999999999999995</v>
      </c>
      <c r="L36" s="4">
        <v>0.15</v>
      </c>
      <c r="M36" s="4">
        <v>0.24</v>
      </c>
      <c r="V36" s="15"/>
      <c r="X36" s="15"/>
      <c r="Y36" s="15"/>
      <c r="AA36" s="9"/>
    </row>
    <row r="37" spans="1:29" ht="15" customHeight="1" x14ac:dyDescent="0.2">
      <c r="A37" s="1">
        <v>2002</v>
      </c>
      <c r="B37" s="4">
        <v>0.47</v>
      </c>
      <c r="C37" s="4">
        <v>0</v>
      </c>
      <c r="D37" s="4">
        <v>0.26</v>
      </c>
      <c r="E37" s="4">
        <v>0.41</v>
      </c>
      <c r="F37" s="4">
        <v>0.08</v>
      </c>
      <c r="G37" s="4">
        <v>0.01</v>
      </c>
      <c r="H37" s="4">
        <v>5.22</v>
      </c>
      <c r="I37" s="4">
        <v>2.0499999999999998</v>
      </c>
      <c r="J37" s="4">
        <v>3.91</v>
      </c>
      <c r="K37" s="4">
        <v>1.24</v>
      </c>
      <c r="L37" s="4">
        <v>0.73</v>
      </c>
      <c r="M37" s="4">
        <v>1.25</v>
      </c>
      <c r="V37" s="15"/>
      <c r="X37" s="15"/>
      <c r="Y37" s="15"/>
      <c r="AA37" s="9"/>
    </row>
    <row r="38" spans="1:29" ht="15" customHeight="1" x14ac:dyDescent="0.2">
      <c r="A38" s="1">
        <v>2003</v>
      </c>
      <c r="B38" s="4">
        <v>0.11</v>
      </c>
      <c r="C38" s="4">
        <v>2.14</v>
      </c>
      <c r="D38" s="4">
        <v>0.88</v>
      </c>
      <c r="E38" s="4">
        <v>0.52</v>
      </c>
      <c r="F38" s="4">
        <v>0.01</v>
      </c>
      <c r="G38" s="4">
        <v>0.51</v>
      </c>
      <c r="H38" s="4">
        <v>1.51</v>
      </c>
      <c r="I38" s="4">
        <v>2.0299999999999998</v>
      </c>
      <c r="J38" s="4">
        <v>1.67</v>
      </c>
      <c r="K38" s="4">
        <v>1.32</v>
      </c>
      <c r="L38" s="4">
        <v>2.0699999999999998</v>
      </c>
      <c r="M38" s="4">
        <v>0.55000000000000004</v>
      </c>
      <c r="V38" s="15"/>
      <c r="X38" s="15"/>
      <c r="Y38" s="15"/>
      <c r="AA38" s="9"/>
    </row>
    <row r="39" spans="1:29" ht="15" customHeight="1" x14ac:dyDescent="0.2">
      <c r="A39" s="1">
        <v>2004</v>
      </c>
      <c r="B39" s="4">
        <v>0.83</v>
      </c>
      <c r="C39" s="4">
        <v>0.75</v>
      </c>
      <c r="D39" s="4">
        <v>0.76</v>
      </c>
      <c r="E39" s="4">
        <v>2.13</v>
      </c>
      <c r="F39" s="4">
        <v>0</v>
      </c>
      <c r="G39" s="4">
        <v>0.21</v>
      </c>
      <c r="H39" s="4">
        <v>1.54</v>
      </c>
      <c r="I39" s="4">
        <v>3.68</v>
      </c>
      <c r="J39" s="4">
        <v>0.93</v>
      </c>
      <c r="K39" s="4">
        <v>1.1599999999999999</v>
      </c>
      <c r="L39" s="4">
        <v>1.32</v>
      </c>
      <c r="M39" s="4">
        <v>2.0299999999999998</v>
      </c>
      <c r="V39" s="15"/>
      <c r="X39" s="15"/>
      <c r="Y39" s="15"/>
      <c r="AA39" s="9"/>
    </row>
    <row r="40" spans="1:29" ht="15" customHeight="1" x14ac:dyDescent="0.2">
      <c r="A40" s="1">
        <v>2005</v>
      </c>
      <c r="B40" s="4">
        <v>2.36</v>
      </c>
      <c r="C40" s="4">
        <v>1.98</v>
      </c>
      <c r="D40" s="4">
        <v>0.71</v>
      </c>
      <c r="E40" s="4">
        <v>0.78</v>
      </c>
      <c r="F40" s="4">
        <v>0.62</v>
      </c>
      <c r="G40" s="4">
        <v>0.35</v>
      </c>
      <c r="H40" s="4">
        <v>1.22</v>
      </c>
      <c r="I40" s="4">
        <v>3.01</v>
      </c>
      <c r="J40" s="4">
        <v>1.85</v>
      </c>
      <c r="K40" s="4">
        <v>0.98</v>
      </c>
      <c r="L40" s="4">
        <v>0.1</v>
      </c>
      <c r="M40" s="4">
        <v>0</v>
      </c>
      <c r="V40" s="15"/>
      <c r="X40" s="15"/>
      <c r="Y40" s="15"/>
      <c r="AA40" s="9"/>
    </row>
    <row r="41" spans="1:29" ht="15" customHeight="1" x14ac:dyDescent="0.2">
      <c r="A41" s="1">
        <v>2006</v>
      </c>
      <c r="B41" s="4">
        <v>0.47</v>
      </c>
      <c r="C41" s="4">
        <v>0</v>
      </c>
      <c r="D41" s="4">
        <v>1.1100000000000001</v>
      </c>
      <c r="E41" s="4">
        <v>0.95</v>
      </c>
      <c r="F41" s="4">
        <v>0.08</v>
      </c>
      <c r="G41" s="4">
        <v>0.5</v>
      </c>
      <c r="H41" s="4">
        <v>5.64</v>
      </c>
      <c r="I41" s="4">
        <v>8.32</v>
      </c>
      <c r="J41" s="4">
        <v>3.76</v>
      </c>
      <c r="K41" s="4">
        <v>2.4700000000000002</v>
      </c>
      <c r="L41" s="4">
        <v>0</v>
      </c>
      <c r="M41" s="4">
        <v>0.44</v>
      </c>
      <c r="V41" s="15"/>
      <c r="X41" s="15"/>
      <c r="Y41" s="15"/>
      <c r="AA41" s="9"/>
    </row>
    <row r="42" spans="1:29" ht="15" customHeight="1" x14ac:dyDescent="0.2">
      <c r="A42" s="1">
        <v>2007</v>
      </c>
      <c r="B42" s="4">
        <v>0.56000000000000005</v>
      </c>
      <c r="C42" s="4">
        <v>0.45</v>
      </c>
      <c r="D42" s="4">
        <v>1.01</v>
      </c>
      <c r="E42" s="4">
        <v>0.41</v>
      </c>
      <c r="F42" s="4">
        <v>1.47</v>
      </c>
      <c r="G42" s="4">
        <v>0.68</v>
      </c>
      <c r="H42" s="4">
        <v>3.9</v>
      </c>
      <c r="I42" s="4">
        <v>6.64</v>
      </c>
      <c r="J42" s="4">
        <v>1.28</v>
      </c>
      <c r="K42" s="4">
        <v>0.45</v>
      </c>
      <c r="L42" s="4">
        <v>2.25</v>
      </c>
      <c r="M42" s="4">
        <v>4.1399999999999997</v>
      </c>
      <c r="V42" s="15"/>
      <c r="X42" s="15"/>
      <c r="Y42" s="15"/>
      <c r="AA42" s="9"/>
    </row>
    <row r="43" spans="1:29" ht="15" customHeight="1" x14ac:dyDescent="0.2">
      <c r="A43" s="1">
        <v>2008</v>
      </c>
      <c r="B43" s="4">
        <v>3.9</v>
      </c>
      <c r="C43" s="4">
        <v>0.86</v>
      </c>
      <c r="D43" s="4">
        <v>0</v>
      </c>
      <c r="E43" s="4">
        <v>0.1</v>
      </c>
      <c r="F43" s="4">
        <v>1.17</v>
      </c>
      <c r="G43" s="4">
        <v>0.04</v>
      </c>
      <c r="H43" s="4">
        <v>3.79</v>
      </c>
      <c r="I43" s="4">
        <v>2.14</v>
      </c>
      <c r="J43" s="4">
        <v>2.27</v>
      </c>
      <c r="K43" s="4">
        <v>1.54</v>
      </c>
      <c r="L43" s="4">
        <v>0.65</v>
      </c>
      <c r="M43" s="4">
        <v>1.57</v>
      </c>
      <c r="V43" s="15"/>
      <c r="X43" s="15"/>
      <c r="Y43" s="15"/>
      <c r="AA43" s="9"/>
    </row>
    <row r="44" spans="1:29" ht="15" customHeight="1" x14ac:dyDescent="0.2">
      <c r="A44" s="1">
        <v>2009</v>
      </c>
      <c r="B44" s="4">
        <v>0.76</v>
      </c>
      <c r="C44" s="4">
        <v>0.49</v>
      </c>
      <c r="D44" s="4">
        <v>0.86</v>
      </c>
      <c r="E44" s="4">
        <v>0.41</v>
      </c>
      <c r="F44" s="4">
        <v>1.1100000000000001</v>
      </c>
      <c r="G44" s="4">
        <v>2.25</v>
      </c>
      <c r="H44" s="4">
        <v>2.62</v>
      </c>
      <c r="I44" s="4">
        <v>3.34</v>
      </c>
      <c r="J44" s="4">
        <v>1.84</v>
      </c>
      <c r="K44" s="4">
        <v>0.5</v>
      </c>
      <c r="L44" s="4">
        <v>0.37</v>
      </c>
      <c r="M44" s="4">
        <v>1.42</v>
      </c>
      <c r="V44" s="15"/>
      <c r="X44" s="15"/>
      <c r="Y44" s="15"/>
      <c r="AA44" s="9"/>
    </row>
    <row r="45" spans="1:29" ht="15" customHeight="1" x14ac:dyDescent="0.2">
      <c r="A45" s="1">
        <v>2010</v>
      </c>
      <c r="B45" s="4">
        <v>5.33</v>
      </c>
      <c r="C45" s="4">
        <v>0.93</v>
      </c>
      <c r="D45" s="4">
        <v>1.05</v>
      </c>
      <c r="E45" s="4">
        <v>0.6</v>
      </c>
      <c r="F45" s="4">
        <v>0.23</v>
      </c>
      <c r="G45" s="4">
        <v>0.52</v>
      </c>
      <c r="H45" s="4">
        <v>6.66</v>
      </c>
      <c r="I45" s="4">
        <v>2.58</v>
      </c>
      <c r="J45" s="4">
        <v>0.87</v>
      </c>
      <c r="K45" s="4">
        <v>0.66</v>
      </c>
      <c r="L45" s="4">
        <v>0.16</v>
      </c>
      <c r="M45" s="4">
        <v>1.93</v>
      </c>
      <c r="V45" s="15"/>
      <c r="X45" s="15"/>
      <c r="Y45" s="15"/>
      <c r="AA45" s="9"/>
    </row>
    <row r="46" spans="1:29" ht="15" customHeight="1" x14ac:dyDescent="0.2">
      <c r="A46" s="1">
        <v>2011</v>
      </c>
      <c r="B46" s="4">
        <v>0</v>
      </c>
      <c r="C46" s="4">
        <v>0.25</v>
      </c>
      <c r="D46" s="4">
        <v>0</v>
      </c>
      <c r="E46" s="4">
        <v>0.27</v>
      </c>
      <c r="F46" s="4">
        <v>0.08</v>
      </c>
      <c r="G46" s="4">
        <v>0.12</v>
      </c>
      <c r="H46" s="4">
        <v>5.2</v>
      </c>
      <c r="I46" s="4">
        <v>3.41</v>
      </c>
      <c r="J46" s="4">
        <v>2.94</v>
      </c>
      <c r="K46" s="4">
        <v>1.61</v>
      </c>
      <c r="L46" s="4">
        <v>0.96</v>
      </c>
      <c r="M46" s="4">
        <v>4.0599999999999996</v>
      </c>
      <c r="V46" s="15"/>
      <c r="X46" s="15"/>
      <c r="Y46" s="15"/>
      <c r="AA46" s="9"/>
    </row>
    <row r="47" spans="1:29" ht="15" customHeight="1" x14ac:dyDescent="0.2">
      <c r="A47" s="1">
        <v>2012</v>
      </c>
      <c r="B47" s="4">
        <v>0.87</v>
      </c>
      <c r="C47" s="4">
        <v>0.36</v>
      </c>
      <c r="D47" s="4">
        <v>0.38</v>
      </c>
      <c r="E47" s="4">
        <v>0.04</v>
      </c>
      <c r="F47" s="4">
        <v>0</v>
      </c>
      <c r="G47" s="4">
        <v>0.13</v>
      </c>
      <c r="H47" s="4">
        <v>3.4</v>
      </c>
      <c r="I47" s="4">
        <v>4.3600000000000003</v>
      </c>
      <c r="J47" s="4">
        <v>1.78</v>
      </c>
      <c r="K47" s="4">
        <v>0.13</v>
      </c>
      <c r="L47" s="4">
        <v>1.1599999999999999</v>
      </c>
      <c r="M47" s="4">
        <v>1.27</v>
      </c>
      <c r="V47" s="15"/>
      <c r="X47" s="15"/>
      <c r="Y47" s="15"/>
      <c r="AA47" s="9"/>
    </row>
    <row r="48" spans="1:29" ht="15" customHeight="1" x14ac:dyDescent="0.2">
      <c r="A48" s="1">
        <v>2013</v>
      </c>
      <c r="B48" s="4">
        <v>1.1399999999999999</v>
      </c>
      <c r="C48" s="4">
        <v>0.85</v>
      </c>
      <c r="D48" s="4">
        <v>0.54</v>
      </c>
      <c r="E48" s="4">
        <v>0.43</v>
      </c>
      <c r="F48" s="4">
        <v>0.27</v>
      </c>
      <c r="G48" s="4">
        <v>0</v>
      </c>
      <c r="H48" s="4">
        <v>5.55</v>
      </c>
      <c r="I48" s="4">
        <v>5.92</v>
      </c>
      <c r="J48" s="4">
        <v>3.66</v>
      </c>
      <c r="K48" s="4">
        <v>0.52</v>
      </c>
      <c r="L48" s="4">
        <v>2.2000000000000002</v>
      </c>
      <c r="M48" s="4">
        <v>0.46</v>
      </c>
      <c r="R48"/>
      <c r="S48"/>
      <c r="T48"/>
      <c r="U48"/>
      <c r="V48"/>
      <c r="W48"/>
      <c r="X48"/>
      <c r="Y48"/>
      <c r="Z48"/>
      <c r="AA48"/>
      <c r="AB48"/>
      <c r="AC48"/>
    </row>
    <row r="49" spans="1:33" ht="15" customHeight="1" x14ac:dyDescent="0.2">
      <c r="A49" s="1">
        <v>2014</v>
      </c>
      <c r="B49" s="4">
        <v>0</v>
      </c>
      <c r="C49" s="4">
        <v>0.14000000000000001</v>
      </c>
      <c r="D49" s="4">
        <v>1.05</v>
      </c>
      <c r="E49" s="4">
        <v>0.45</v>
      </c>
      <c r="F49" s="4">
        <v>0</v>
      </c>
      <c r="G49" s="4">
        <v>0.34</v>
      </c>
      <c r="H49" s="4">
        <v>6.63</v>
      </c>
      <c r="I49" s="4">
        <v>3.1</v>
      </c>
      <c r="J49" s="4">
        <v>2.69</v>
      </c>
      <c r="K49" s="4">
        <v>1.38</v>
      </c>
      <c r="L49" s="4">
        <v>1.29</v>
      </c>
      <c r="M49" s="4">
        <v>0.9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spans="1:33" ht="15" customHeight="1" x14ac:dyDescent="0.2">
      <c r="A50" s="1">
        <v>2015</v>
      </c>
      <c r="B50" s="4">
        <v>2.72</v>
      </c>
      <c r="C50" s="4">
        <v>0.23</v>
      </c>
      <c r="D50" s="4">
        <v>0.96</v>
      </c>
      <c r="E50" s="4">
        <v>0.38</v>
      </c>
      <c r="F50" s="4">
        <v>0.9</v>
      </c>
      <c r="G50" s="4">
        <v>2.29</v>
      </c>
      <c r="H50" s="4">
        <v>6.04</v>
      </c>
      <c r="I50" s="4">
        <v>3.19</v>
      </c>
      <c r="J50" s="4">
        <v>3.61</v>
      </c>
      <c r="K50" s="4">
        <v>2.56</v>
      </c>
      <c r="L50" s="4">
        <v>0.85</v>
      </c>
      <c r="M50" s="4">
        <v>0</v>
      </c>
    </row>
    <row r="51" spans="1:33" ht="15" customHeight="1" x14ac:dyDescent="0.2">
      <c r="A51" s="1">
        <v>2016</v>
      </c>
      <c r="B51" s="4">
        <v>0.5</v>
      </c>
      <c r="C51" s="4">
        <v>0.25</v>
      </c>
      <c r="D51" s="4">
        <v>0.02</v>
      </c>
      <c r="E51" s="4">
        <v>0.85</v>
      </c>
      <c r="F51" s="4">
        <v>0.64</v>
      </c>
      <c r="G51" s="4">
        <v>1.22</v>
      </c>
      <c r="H51" s="4">
        <v>1.54</v>
      </c>
      <c r="I51" s="4">
        <v>5.0599999999999996</v>
      </c>
      <c r="J51" s="4">
        <v>1.98</v>
      </c>
      <c r="K51" s="4">
        <v>1.2</v>
      </c>
      <c r="L51" s="4">
        <v>2.88</v>
      </c>
      <c r="M51" s="4">
        <v>3.59</v>
      </c>
      <c r="N51" s="4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33" ht="15" customHeight="1" x14ac:dyDescent="0.2">
      <c r="A52" s="1">
        <v>2017</v>
      </c>
      <c r="B52" s="4">
        <v>1.74</v>
      </c>
      <c r="C52" s="4">
        <v>1.58</v>
      </c>
      <c r="D52" s="4">
        <v>0.21</v>
      </c>
      <c r="E52" s="4">
        <v>0.38</v>
      </c>
      <c r="F52" s="4">
        <v>0.85</v>
      </c>
      <c r="G52" s="4">
        <v>1.24</v>
      </c>
      <c r="H52" s="4">
        <v>5.15</v>
      </c>
      <c r="I52" s="4">
        <v>2.61</v>
      </c>
      <c r="J52" s="4">
        <v>2.52</v>
      </c>
      <c r="K52" s="4">
        <v>0.18</v>
      </c>
      <c r="L52" s="4">
        <v>0</v>
      </c>
      <c r="M52" s="4">
        <v>0.21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33" ht="15" customHeight="1" x14ac:dyDescent="0.2">
      <c r="A53" s="1">
        <v>2018</v>
      </c>
      <c r="B53" s="4">
        <v>0.47</v>
      </c>
      <c r="C53" s="4">
        <v>1.71</v>
      </c>
      <c r="D53" s="4">
        <v>0.3</v>
      </c>
      <c r="E53" s="4">
        <v>0</v>
      </c>
      <c r="F53" s="4">
        <v>0</v>
      </c>
      <c r="G53" s="4">
        <v>0.26</v>
      </c>
      <c r="H53" s="4">
        <v>4.8499999999999996</v>
      </c>
      <c r="I53" s="4">
        <v>1.91</v>
      </c>
      <c r="J53" s="4">
        <v>3.32</v>
      </c>
      <c r="K53" s="4">
        <v>1.51</v>
      </c>
      <c r="L53" s="4">
        <v>0</v>
      </c>
      <c r="M53" s="4">
        <v>0</v>
      </c>
      <c r="N53" s="4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 ht="15" customHeight="1" x14ac:dyDescent="0.2">
      <c r="A54" s="1">
        <v>2019</v>
      </c>
      <c r="B54" s="4">
        <v>0</v>
      </c>
      <c r="C54" s="4">
        <v>2.41</v>
      </c>
      <c r="D54" s="4">
        <v>0.33</v>
      </c>
      <c r="E54" s="4">
        <v>0</v>
      </c>
      <c r="F54" s="4">
        <v>1.1299999999999999</v>
      </c>
      <c r="G54" s="4">
        <v>0.35</v>
      </c>
      <c r="H54" s="4">
        <v>2.25</v>
      </c>
      <c r="I54" s="4">
        <v>2.2400000000000002</v>
      </c>
      <c r="J54" s="4">
        <v>3.53</v>
      </c>
      <c r="K54" s="4">
        <v>0</v>
      </c>
      <c r="L54" s="4">
        <v>0</v>
      </c>
      <c r="M54" s="4">
        <v>0</v>
      </c>
      <c r="N54" s="4"/>
    </row>
    <row r="55" spans="1:33" ht="15" customHeight="1" x14ac:dyDescent="0.2">
      <c r="A55" s="10">
        <v>2020</v>
      </c>
      <c r="B55" s="4">
        <v>1.2</v>
      </c>
      <c r="C55" s="4">
        <v>1.82</v>
      </c>
      <c r="D55" s="4">
        <v>1.62</v>
      </c>
      <c r="E55" s="4">
        <v>0.35</v>
      </c>
      <c r="F55" s="4">
        <v>0.12</v>
      </c>
      <c r="G55" s="4">
        <v>0.05</v>
      </c>
      <c r="H55" s="4">
        <v>0.09</v>
      </c>
      <c r="I55" s="4">
        <v>1.61</v>
      </c>
      <c r="J55" s="4">
        <v>0.05</v>
      </c>
      <c r="K55" s="4">
        <v>0.52</v>
      </c>
      <c r="L55" s="4">
        <v>1.1599999999999999</v>
      </c>
      <c r="M55" s="4">
        <v>0.42</v>
      </c>
      <c r="N55" s="4"/>
    </row>
    <row r="56" spans="1:33" ht="15" customHeight="1" x14ac:dyDescent="0.2">
      <c r="A56" s="10">
        <v>2021</v>
      </c>
      <c r="B56" s="4">
        <v>0.39</v>
      </c>
      <c r="C56" s="4">
        <v>0.26</v>
      </c>
      <c r="D56" s="4">
        <v>0.29999999999999993</v>
      </c>
      <c r="E56" s="4">
        <v>0.37</v>
      </c>
      <c r="F56" s="4">
        <v>9.0000000000000024E-2</v>
      </c>
      <c r="G56" s="4">
        <v>0.38999999999999996</v>
      </c>
      <c r="H56" s="4">
        <v>2.9499999999999997</v>
      </c>
      <c r="I56" s="4">
        <v>2.0099999999999998</v>
      </c>
      <c r="J56" s="4">
        <v>2.0700000000000003</v>
      </c>
      <c r="K56" s="4">
        <v>0.42000000000000082</v>
      </c>
      <c r="L56" s="4">
        <v>5.9999999999998721E-2</v>
      </c>
      <c r="M56" s="4">
        <v>1.6400000000000006</v>
      </c>
      <c r="N56" s="4"/>
    </row>
    <row r="57" spans="1:33" ht="15" customHeight="1" x14ac:dyDescent="0.2">
      <c r="A57" s="10">
        <v>2022</v>
      </c>
      <c r="B57" s="4">
        <v>0.66</v>
      </c>
      <c r="C57" s="4">
        <v>0.10999999999999999</v>
      </c>
      <c r="D57" s="4">
        <v>8.9999999999999969E-2</v>
      </c>
      <c r="E57" s="4">
        <v>0</v>
      </c>
      <c r="F57" s="4">
        <v>0</v>
      </c>
      <c r="G57" s="4">
        <v>2.37</v>
      </c>
      <c r="H57" s="4">
        <v>3.45</v>
      </c>
      <c r="I57" s="4">
        <v>5.49</v>
      </c>
      <c r="J57" s="4">
        <v>2.1399999999999988</v>
      </c>
      <c r="K57" s="4">
        <v>2.4600000000000009</v>
      </c>
      <c r="L57" s="4">
        <v>0.44000000000000128</v>
      </c>
      <c r="M57" s="4">
        <v>2.1899999999999977</v>
      </c>
      <c r="N57" s="4"/>
    </row>
    <row r="58" spans="1:33" ht="15" customHeight="1" x14ac:dyDescent="0.2">
      <c r="A58" s="10">
        <v>2023</v>
      </c>
      <c r="B58" s="4">
        <v>1.53</v>
      </c>
      <c r="C58" s="4">
        <v>0.34999999999999987</v>
      </c>
      <c r="D58" s="4">
        <v>1.2200000000000002</v>
      </c>
      <c r="E58" s="4">
        <v>0</v>
      </c>
      <c r="F58" s="4">
        <v>0.56000000000000005</v>
      </c>
      <c r="G58" s="4">
        <v>0.25</v>
      </c>
      <c r="H58" s="4">
        <v>0.72999999999999954</v>
      </c>
      <c r="I58" s="4">
        <v>1.5700000000000003</v>
      </c>
      <c r="J58" s="4">
        <v>1.4800000000000004</v>
      </c>
      <c r="K58" s="4">
        <v>0.32999999999999918</v>
      </c>
      <c r="L58" s="4">
        <v>0.8100000000000005</v>
      </c>
      <c r="M58" s="4">
        <v>1.5199999999999996</v>
      </c>
      <c r="N58" s="4"/>
    </row>
    <row r="59" spans="1:33" ht="15" customHeight="1" x14ac:dyDescent="0.2">
      <c r="A59" s="10">
        <v>2024</v>
      </c>
      <c r="B59" s="4">
        <v>1.36</v>
      </c>
      <c r="C59" s="4">
        <v>1.43</v>
      </c>
      <c r="D59" s="4">
        <v>2.23</v>
      </c>
      <c r="E59" s="4">
        <v>0.49</v>
      </c>
      <c r="F59" s="4">
        <v>0.05</v>
      </c>
      <c r="G59" s="4">
        <v>0.55000000000000004</v>
      </c>
      <c r="H59" s="4">
        <v>4.1100000000000003</v>
      </c>
      <c r="I59" s="4">
        <v>2.38</v>
      </c>
      <c r="J59" s="4">
        <v>0.79</v>
      </c>
      <c r="K59" s="4">
        <v>0.59</v>
      </c>
      <c r="L59" s="4">
        <v>0.73</v>
      </c>
      <c r="M59" s="4">
        <v>0</v>
      </c>
      <c r="N59" s="4"/>
      <c r="P59" s="20"/>
    </row>
    <row r="60" spans="1:33" s="2" customFormat="1" ht="15" customHeight="1" x14ac:dyDescent="0.2">
      <c r="A60" s="2" t="s">
        <v>0</v>
      </c>
      <c r="B60" s="2" t="s">
        <v>2</v>
      </c>
      <c r="N60"/>
      <c r="O60"/>
      <c r="P60" s="20"/>
      <c r="Q60" s="1"/>
      <c r="R60"/>
      <c r="S60"/>
      <c r="T60"/>
      <c r="U60"/>
      <c r="V60"/>
      <c r="W60"/>
      <c r="X60"/>
      <c r="Y60"/>
    </row>
    <row r="61" spans="1:33" s="2" customFormat="1" ht="15" customHeight="1" x14ac:dyDescent="0.2">
      <c r="B61" s="5" t="s">
        <v>123</v>
      </c>
      <c r="C61" s="5" t="s">
        <v>124</v>
      </c>
      <c r="D61" s="5" t="s">
        <v>125</v>
      </c>
      <c r="E61" s="5" t="s">
        <v>126</v>
      </c>
      <c r="F61" s="5" t="s">
        <v>127</v>
      </c>
      <c r="G61" s="5" t="s">
        <v>128</v>
      </c>
      <c r="H61" s="5" t="s">
        <v>129</v>
      </c>
      <c r="I61" s="5" t="s">
        <v>130</v>
      </c>
      <c r="J61" s="5" t="s">
        <v>131</v>
      </c>
      <c r="K61" s="5" t="s">
        <v>132</v>
      </c>
      <c r="L61" s="5" t="s">
        <v>133</v>
      </c>
      <c r="M61" s="5" t="s">
        <v>134</v>
      </c>
      <c r="P61" s="20"/>
      <c r="Q61" s="1"/>
      <c r="R61" s="15"/>
      <c r="S61" s="15"/>
      <c r="T61" s="15"/>
      <c r="U61" s="15"/>
      <c r="V61" s="15"/>
    </row>
    <row r="62" spans="1:33" ht="15" customHeight="1" x14ac:dyDescent="0.2">
      <c r="A62" s="1">
        <v>1968</v>
      </c>
      <c r="B62" s="9">
        <v>26.6</v>
      </c>
      <c r="C62" s="9">
        <v>36</v>
      </c>
      <c r="D62" s="9">
        <v>36.9</v>
      </c>
      <c r="E62" s="9">
        <v>41.5</v>
      </c>
      <c r="F62" s="9">
        <v>50.1</v>
      </c>
      <c r="G62" s="9">
        <v>59.9</v>
      </c>
      <c r="H62" s="9">
        <v>63.5</v>
      </c>
      <c r="I62" s="9">
        <v>59.8</v>
      </c>
      <c r="J62" s="9">
        <v>54.4</v>
      </c>
      <c r="K62" s="9">
        <v>48</v>
      </c>
      <c r="L62" s="9">
        <v>36.200000000000003</v>
      </c>
      <c r="M62" s="9">
        <v>26.8</v>
      </c>
      <c r="P62" s="20"/>
      <c r="R62" s="15"/>
      <c r="S62" s="15"/>
      <c r="T62" s="15"/>
      <c r="U62" s="15"/>
      <c r="V62" s="15"/>
      <c r="Y62" s="2"/>
    </row>
    <row r="63" spans="1:33" ht="15" customHeight="1" x14ac:dyDescent="0.2">
      <c r="A63" s="1">
        <v>1969</v>
      </c>
      <c r="B63" s="9">
        <v>34</v>
      </c>
      <c r="C63" s="9">
        <v>35.200000000000003</v>
      </c>
      <c r="D63" s="9">
        <v>34.200000000000003</v>
      </c>
      <c r="E63" s="9">
        <v>44.1</v>
      </c>
      <c r="F63" s="9">
        <v>51</v>
      </c>
      <c r="G63" s="9">
        <v>59.2</v>
      </c>
      <c r="H63" s="9">
        <v>65.900000000000006</v>
      </c>
      <c r="I63" s="9">
        <v>66.2</v>
      </c>
      <c r="J63" s="9">
        <v>57.7</v>
      </c>
      <c r="K63" s="9">
        <v>46.4</v>
      </c>
      <c r="L63" s="9">
        <v>35.200000000000003</v>
      </c>
      <c r="M63" s="9">
        <v>36.700000000000003</v>
      </c>
      <c r="P63" s="20"/>
      <c r="R63" s="15"/>
      <c r="S63" s="15"/>
      <c r="T63" s="15"/>
      <c r="U63" s="15"/>
      <c r="V63" s="15"/>
      <c r="Y63" s="2"/>
    </row>
    <row r="64" spans="1:33" ht="15" customHeight="1" x14ac:dyDescent="0.2">
      <c r="A64" s="1">
        <v>1970</v>
      </c>
      <c r="B64" s="9">
        <v>27.8</v>
      </c>
      <c r="C64" s="9">
        <v>35.700000000000003</v>
      </c>
      <c r="D64" s="9">
        <v>34.6</v>
      </c>
      <c r="E64" s="9">
        <v>38.5</v>
      </c>
      <c r="F64" s="9">
        <v>50.9</v>
      </c>
      <c r="G64" s="9">
        <v>56.9</v>
      </c>
      <c r="H64" s="9">
        <v>67.599999999999994</v>
      </c>
      <c r="I64" s="9">
        <v>64.099999999999994</v>
      </c>
      <c r="J64" s="9">
        <v>55.6</v>
      </c>
      <c r="K64" s="9">
        <v>43.1</v>
      </c>
      <c r="L64" s="9">
        <v>37.5</v>
      </c>
      <c r="M64" s="9">
        <v>30.6</v>
      </c>
      <c r="P64" s="20"/>
      <c r="R64" s="15"/>
      <c r="S64" s="15"/>
      <c r="T64" s="15"/>
      <c r="U64" s="15"/>
      <c r="V64" s="15"/>
      <c r="Y64" s="2"/>
    </row>
    <row r="65" spans="1:25" ht="15" customHeight="1" x14ac:dyDescent="0.2">
      <c r="A65" s="1">
        <v>1971</v>
      </c>
      <c r="B65" s="9">
        <v>29.8</v>
      </c>
      <c r="C65" s="9">
        <v>31.6</v>
      </c>
      <c r="D65" s="9">
        <v>39.9</v>
      </c>
      <c r="E65" s="9">
        <v>41.4</v>
      </c>
      <c r="F65" s="9">
        <v>49.7</v>
      </c>
      <c r="G65" s="9">
        <v>59.2</v>
      </c>
      <c r="H65" s="9">
        <v>67.2</v>
      </c>
      <c r="I65" s="9">
        <v>62.7</v>
      </c>
      <c r="J65" s="9">
        <v>57</v>
      </c>
      <c r="K65" s="9">
        <v>44.6</v>
      </c>
      <c r="L65" s="9">
        <v>37.200000000000003</v>
      </c>
      <c r="M65" s="9">
        <v>27</v>
      </c>
      <c r="P65" s="20"/>
      <c r="R65" s="15"/>
      <c r="S65" s="15"/>
      <c r="T65" s="15"/>
      <c r="U65" s="15"/>
      <c r="V65" s="15"/>
      <c r="Y65" s="2"/>
    </row>
    <row r="66" spans="1:25" ht="15" customHeight="1" x14ac:dyDescent="0.2">
      <c r="A66" s="1">
        <v>1972</v>
      </c>
      <c r="B66" s="9">
        <v>31.5</v>
      </c>
      <c r="C66" s="9">
        <v>33.6</v>
      </c>
      <c r="D66" s="9">
        <v>42.4</v>
      </c>
      <c r="E66" s="9">
        <v>43.7</v>
      </c>
      <c r="F66" s="9">
        <v>49.4</v>
      </c>
      <c r="G66" s="9">
        <v>59.6</v>
      </c>
      <c r="H66" s="9">
        <v>64.900000000000006</v>
      </c>
      <c r="I66" s="9">
        <v>62.2</v>
      </c>
      <c r="J66" s="9">
        <v>56.4</v>
      </c>
      <c r="K66" s="9">
        <v>49.4</v>
      </c>
      <c r="L66" s="9">
        <v>33.299999999999997</v>
      </c>
      <c r="M66" s="9">
        <v>31</v>
      </c>
      <c r="P66" s="20"/>
      <c r="R66" s="15"/>
      <c r="S66" s="15"/>
      <c r="T66" s="15"/>
      <c r="U66" s="15"/>
      <c r="V66" s="15"/>
      <c r="Y66" s="2"/>
    </row>
    <row r="67" spans="1:25" ht="15" customHeight="1" x14ac:dyDescent="0.2">
      <c r="A67" s="1">
        <v>1973</v>
      </c>
      <c r="B67" s="9">
        <v>27.7</v>
      </c>
      <c r="C67" s="9">
        <v>32.4</v>
      </c>
      <c r="D67" s="9">
        <v>34</v>
      </c>
      <c r="E67" s="9">
        <v>39.9</v>
      </c>
      <c r="F67" s="9">
        <v>51</v>
      </c>
      <c r="G67" s="9">
        <v>58.2</v>
      </c>
      <c r="H67" s="9">
        <v>64.7</v>
      </c>
      <c r="I67" s="9">
        <v>62.7</v>
      </c>
      <c r="J67" s="9">
        <v>56</v>
      </c>
      <c r="K67" s="9">
        <v>46.4</v>
      </c>
      <c r="L67" s="9">
        <v>37.9</v>
      </c>
      <c r="M67" s="9">
        <v>32</v>
      </c>
      <c r="P67" s="20"/>
      <c r="R67" s="15"/>
      <c r="S67" s="15"/>
      <c r="T67" s="15"/>
      <c r="U67" s="15"/>
      <c r="V67" s="15"/>
      <c r="Y67" s="2"/>
    </row>
    <row r="68" spans="1:25" ht="15" customHeight="1" x14ac:dyDescent="0.2">
      <c r="A68" s="1">
        <v>1974</v>
      </c>
      <c r="B68" s="9">
        <v>32.1</v>
      </c>
      <c r="C68" s="9">
        <v>31</v>
      </c>
      <c r="D68" s="9">
        <v>41.1</v>
      </c>
      <c r="E68" s="9">
        <v>42.6</v>
      </c>
      <c r="F68" s="9">
        <v>52.6</v>
      </c>
      <c r="G68" s="9">
        <v>62.5</v>
      </c>
      <c r="H68" s="9">
        <v>64.8</v>
      </c>
      <c r="I68" s="9">
        <v>61</v>
      </c>
      <c r="J68" s="9">
        <v>55.7</v>
      </c>
      <c r="K68" s="9">
        <v>48.7</v>
      </c>
      <c r="L68" s="9">
        <v>36.4</v>
      </c>
      <c r="M68" s="9">
        <v>27.5</v>
      </c>
      <c r="P68" s="20"/>
      <c r="R68" s="15"/>
      <c r="S68" s="15"/>
      <c r="T68" s="15"/>
      <c r="U68" s="15"/>
      <c r="V68" s="15"/>
      <c r="Y68" s="2"/>
    </row>
    <row r="69" spans="1:25" ht="15" customHeight="1" x14ac:dyDescent="0.2">
      <c r="A69" s="1">
        <v>1975</v>
      </c>
      <c r="B69" s="9">
        <v>28.5</v>
      </c>
      <c r="C69" s="9">
        <v>33.6</v>
      </c>
      <c r="D69" s="9">
        <v>35.799999999999997</v>
      </c>
      <c r="E69" s="9">
        <v>43.9</v>
      </c>
      <c r="F69" s="9">
        <v>52.2</v>
      </c>
      <c r="G69" s="9">
        <v>57.2</v>
      </c>
      <c r="H69" s="9">
        <v>66.2</v>
      </c>
      <c r="I69" s="9">
        <v>65.2</v>
      </c>
      <c r="J69" s="9">
        <v>59.3</v>
      </c>
      <c r="K69" s="9">
        <v>48.5</v>
      </c>
      <c r="L69" s="9">
        <v>37.5</v>
      </c>
      <c r="M69" s="9">
        <v>31.3</v>
      </c>
      <c r="P69" s="20"/>
      <c r="R69" s="15"/>
      <c r="S69" s="15"/>
      <c r="T69" s="15"/>
      <c r="U69" s="15"/>
      <c r="V69" s="15"/>
      <c r="Y69" s="2"/>
    </row>
    <row r="70" spans="1:25" ht="15" customHeight="1" x14ac:dyDescent="0.2">
      <c r="A70" s="1">
        <v>1976</v>
      </c>
      <c r="B70" s="9">
        <v>29.8</v>
      </c>
      <c r="C70" s="9">
        <v>33.9</v>
      </c>
      <c r="D70" s="9">
        <v>34.299999999999997</v>
      </c>
      <c r="E70" s="9">
        <v>35.1</v>
      </c>
      <c r="F70" s="9">
        <v>49.9</v>
      </c>
      <c r="G70" s="9">
        <v>53.1</v>
      </c>
      <c r="H70" s="9">
        <v>60.1</v>
      </c>
      <c r="I70" s="9">
        <v>57.1</v>
      </c>
      <c r="J70" s="9">
        <v>52.9</v>
      </c>
      <c r="K70" s="9">
        <v>48.7</v>
      </c>
      <c r="L70" s="9">
        <v>34.9</v>
      </c>
      <c r="M70" s="9">
        <v>30.1</v>
      </c>
      <c r="P70" s="20"/>
      <c r="R70" s="15"/>
      <c r="S70" s="15"/>
      <c r="T70" s="15"/>
      <c r="U70" s="15"/>
      <c r="V70" s="15"/>
      <c r="Y70" s="2"/>
    </row>
    <row r="71" spans="1:25" ht="15" customHeight="1" x14ac:dyDescent="0.2">
      <c r="A71" s="1">
        <v>1977</v>
      </c>
      <c r="B71" s="9">
        <v>26.8</v>
      </c>
      <c r="C71" s="9">
        <v>31</v>
      </c>
      <c r="D71" s="9">
        <v>31.4</v>
      </c>
      <c r="E71" s="9">
        <v>39.1</v>
      </c>
      <c r="F71" s="9">
        <v>43.9</v>
      </c>
      <c r="G71" s="9">
        <v>59.3</v>
      </c>
      <c r="H71" s="9">
        <v>64.7</v>
      </c>
      <c r="I71" s="9">
        <v>63.3</v>
      </c>
      <c r="J71" s="9">
        <v>58.1</v>
      </c>
      <c r="K71" s="9">
        <v>49.1</v>
      </c>
      <c r="L71" s="9">
        <v>37.6</v>
      </c>
      <c r="M71" s="9">
        <v>35.6</v>
      </c>
      <c r="P71" s="9"/>
      <c r="Q71" s="9"/>
      <c r="R71" s="15"/>
      <c r="S71" s="15"/>
      <c r="T71" s="15"/>
      <c r="U71" s="15"/>
      <c r="V71" s="15"/>
      <c r="Y71" s="2"/>
    </row>
    <row r="72" spans="1:25" ht="15" customHeight="1" x14ac:dyDescent="0.2">
      <c r="A72" s="1">
        <v>1978</v>
      </c>
      <c r="B72" s="9">
        <v>32.4</v>
      </c>
      <c r="C72" s="9">
        <v>32.6</v>
      </c>
      <c r="D72" s="9">
        <v>39.700000000000003</v>
      </c>
      <c r="E72" s="9">
        <v>43.9</v>
      </c>
      <c r="F72" s="9">
        <v>48.9</v>
      </c>
      <c r="G72" s="9">
        <v>59.6</v>
      </c>
      <c r="H72" s="9">
        <v>66.099999999999994</v>
      </c>
      <c r="I72" s="9">
        <v>61.6</v>
      </c>
      <c r="J72" s="9">
        <v>57.6</v>
      </c>
      <c r="K72" s="9">
        <v>49.7</v>
      </c>
      <c r="L72" s="9">
        <v>40.799999999999997</v>
      </c>
      <c r="M72" s="9">
        <v>31.1</v>
      </c>
      <c r="P72" s="9"/>
      <c r="Q72" s="9"/>
      <c r="R72" s="15"/>
      <c r="S72" s="15"/>
      <c r="T72" s="15"/>
      <c r="U72" s="15"/>
      <c r="V72" s="15"/>
      <c r="Y72" s="2"/>
    </row>
    <row r="73" spans="1:25" ht="15" customHeight="1" x14ac:dyDescent="0.2">
      <c r="A73" s="1">
        <v>1979</v>
      </c>
      <c r="B73" s="9">
        <v>27.2</v>
      </c>
      <c r="C73" s="9">
        <v>30</v>
      </c>
      <c r="D73" s="9">
        <v>37.4</v>
      </c>
      <c r="E73" s="9">
        <v>42</v>
      </c>
      <c r="F73" s="9">
        <v>49.6</v>
      </c>
      <c r="G73" s="9">
        <v>58.3</v>
      </c>
      <c r="H73" s="9">
        <v>64.400000000000006</v>
      </c>
      <c r="I73" s="9">
        <v>61.3</v>
      </c>
      <c r="J73" s="9">
        <v>58.7</v>
      </c>
      <c r="K73" s="9">
        <v>49.5</v>
      </c>
      <c r="L73" s="9">
        <v>32</v>
      </c>
      <c r="M73" s="9">
        <v>30.3</v>
      </c>
      <c r="P73" s="9"/>
      <c r="Q73" s="9"/>
    </row>
    <row r="74" spans="1:25" ht="15" customHeight="1" x14ac:dyDescent="0.2">
      <c r="A74" s="1">
        <v>1980</v>
      </c>
      <c r="B74" s="9">
        <v>32.799999999999997</v>
      </c>
      <c r="C74" s="9">
        <v>34.6</v>
      </c>
      <c r="D74" s="9">
        <v>36.700000000000003</v>
      </c>
      <c r="E74" s="9">
        <v>42.4</v>
      </c>
      <c r="F74" s="9">
        <v>48.7</v>
      </c>
      <c r="G74" s="9">
        <v>59.5</v>
      </c>
      <c r="H74" s="9">
        <v>66.5</v>
      </c>
      <c r="I74" s="9">
        <v>62.6</v>
      </c>
      <c r="J74" s="9">
        <v>57.6</v>
      </c>
      <c r="K74" s="9">
        <v>44.1</v>
      </c>
      <c r="L74" s="9">
        <v>35.9</v>
      </c>
      <c r="M74" s="9">
        <v>34.700000000000003</v>
      </c>
      <c r="P74" s="9"/>
      <c r="Q74" s="9"/>
    </row>
    <row r="75" spans="1:25" ht="15" customHeight="1" x14ac:dyDescent="0.2">
      <c r="A75" s="1">
        <v>1981</v>
      </c>
      <c r="B75" s="9">
        <v>33.6</v>
      </c>
      <c r="C75" s="9">
        <v>33</v>
      </c>
      <c r="D75" s="9">
        <v>34.6</v>
      </c>
      <c r="E75" s="9">
        <v>45.2</v>
      </c>
      <c r="F75" s="9">
        <v>50</v>
      </c>
      <c r="G75" s="9">
        <v>62.3</v>
      </c>
      <c r="H75" s="9">
        <v>65.5</v>
      </c>
      <c r="I75" s="9">
        <v>62.9</v>
      </c>
      <c r="J75" s="9">
        <v>56.4</v>
      </c>
      <c r="K75" s="9">
        <v>47.8</v>
      </c>
      <c r="L75" s="9">
        <v>37.1</v>
      </c>
      <c r="M75" s="9">
        <v>34.1</v>
      </c>
      <c r="P75" s="9"/>
      <c r="Q75" s="9"/>
    </row>
    <row r="76" spans="1:25" ht="15" customHeight="1" x14ac:dyDescent="0.2">
      <c r="A76" s="1">
        <v>1982</v>
      </c>
      <c r="B76" s="9">
        <v>29.9</v>
      </c>
      <c r="C76" s="9">
        <v>34.799999999999997</v>
      </c>
      <c r="D76" s="9">
        <v>37.700000000000003</v>
      </c>
      <c r="E76" s="9">
        <v>42.7</v>
      </c>
      <c r="F76" s="9">
        <v>49.7</v>
      </c>
      <c r="G76" s="9">
        <v>55.3</v>
      </c>
      <c r="H76" s="9">
        <v>64</v>
      </c>
      <c r="I76" s="9">
        <v>64.400000000000006</v>
      </c>
      <c r="J76" s="9">
        <v>58.4</v>
      </c>
      <c r="K76" s="9">
        <v>43.8</v>
      </c>
      <c r="L76" s="9">
        <v>37.1</v>
      </c>
      <c r="M76" s="9">
        <v>29.6</v>
      </c>
      <c r="P76" s="9"/>
      <c r="Q76" s="9"/>
    </row>
    <row r="77" spans="1:25" ht="15" customHeight="1" x14ac:dyDescent="0.2">
      <c r="A77" s="1">
        <v>1983</v>
      </c>
      <c r="B77" s="9">
        <v>32.5</v>
      </c>
      <c r="C77" s="9">
        <v>33</v>
      </c>
      <c r="D77" s="9">
        <v>38.200000000000003</v>
      </c>
      <c r="E77" s="9">
        <v>39.1</v>
      </c>
      <c r="F77" s="9">
        <v>49.5</v>
      </c>
      <c r="G77" s="9">
        <v>55.7</v>
      </c>
      <c r="H77" s="9">
        <v>64.099999999999994</v>
      </c>
      <c r="I77" s="9">
        <v>63</v>
      </c>
      <c r="J77" s="9">
        <v>60.3</v>
      </c>
      <c r="K77" s="9">
        <v>49.8</v>
      </c>
      <c r="L77" s="9">
        <v>37.200000000000003</v>
      </c>
      <c r="M77" s="9">
        <v>35.299999999999997</v>
      </c>
      <c r="P77" s="9"/>
      <c r="Q77" s="9"/>
    </row>
    <row r="78" spans="1:25" ht="15" customHeight="1" x14ac:dyDescent="0.2">
      <c r="A78" s="1">
        <v>1984</v>
      </c>
      <c r="B78" s="9">
        <v>32</v>
      </c>
      <c r="C78" s="9">
        <v>32.700000000000003</v>
      </c>
      <c r="D78" s="9">
        <v>37.4</v>
      </c>
      <c r="E78" s="9">
        <v>42.2</v>
      </c>
      <c r="F78" s="9">
        <v>54.5</v>
      </c>
      <c r="G78" s="9">
        <v>58.7</v>
      </c>
      <c r="H78" s="9">
        <v>63.9</v>
      </c>
      <c r="I78" s="9">
        <v>63.1</v>
      </c>
      <c r="J78" s="9">
        <v>57.8</v>
      </c>
      <c r="K78" s="9">
        <v>44.5</v>
      </c>
      <c r="L78" s="9">
        <v>36.4</v>
      </c>
      <c r="M78" s="9">
        <v>31.5</v>
      </c>
      <c r="P78" s="9"/>
      <c r="Q78" s="9"/>
    </row>
    <row r="79" spans="1:25" ht="15" customHeight="1" x14ac:dyDescent="0.2">
      <c r="A79" s="1">
        <v>1985</v>
      </c>
      <c r="B79" s="9">
        <v>29.5</v>
      </c>
      <c r="C79" s="9">
        <v>30.8</v>
      </c>
      <c r="D79" s="9">
        <v>38.299999999999997</v>
      </c>
      <c r="E79" s="9">
        <v>45.6</v>
      </c>
      <c r="F79" s="9">
        <v>51.1</v>
      </c>
      <c r="G79" s="9">
        <v>59.6</v>
      </c>
      <c r="H79" s="9">
        <v>65.599999999999994</v>
      </c>
      <c r="I79" s="9">
        <v>62.3</v>
      </c>
      <c r="J79" s="9">
        <v>54.8</v>
      </c>
      <c r="K79" s="9">
        <v>48</v>
      </c>
      <c r="L79" s="9">
        <v>37.5</v>
      </c>
      <c r="M79" s="9">
        <v>30.4</v>
      </c>
      <c r="P79" s="9"/>
      <c r="Q79" s="9"/>
    </row>
    <row r="80" spans="1:25" ht="15" customHeight="1" x14ac:dyDescent="0.2">
      <c r="A80" s="1">
        <v>1986</v>
      </c>
      <c r="B80" s="9">
        <v>35.5</v>
      </c>
      <c r="C80" s="9">
        <v>36.5</v>
      </c>
      <c r="D80" s="9">
        <v>40.700000000000003</v>
      </c>
      <c r="E80" s="9">
        <v>45.8</v>
      </c>
      <c r="F80" s="9">
        <v>51.5</v>
      </c>
      <c r="G80" s="9">
        <v>61.1</v>
      </c>
      <c r="H80" s="9">
        <v>63.6</v>
      </c>
      <c r="I80" s="9">
        <v>65.7</v>
      </c>
      <c r="J80" s="9">
        <v>55</v>
      </c>
      <c r="K80" s="9">
        <v>46.3</v>
      </c>
      <c r="L80" s="9">
        <v>38.5</v>
      </c>
      <c r="M80" s="9">
        <v>31.8</v>
      </c>
      <c r="P80" s="9"/>
      <c r="Q80" s="9"/>
    </row>
    <row r="81" spans="1:17" ht="15" customHeight="1" x14ac:dyDescent="0.2">
      <c r="A81" s="1">
        <v>1987</v>
      </c>
      <c r="B81" s="9">
        <v>28</v>
      </c>
      <c r="C81" s="9">
        <v>31.7</v>
      </c>
      <c r="D81" s="9">
        <v>34.9</v>
      </c>
      <c r="E81" s="9">
        <v>45.1</v>
      </c>
      <c r="F81" s="9">
        <v>49.8</v>
      </c>
      <c r="G81" s="9">
        <v>59.3</v>
      </c>
      <c r="H81" s="9">
        <v>61.9</v>
      </c>
      <c r="I81" s="9">
        <v>62.2</v>
      </c>
      <c r="J81" s="9">
        <v>55</v>
      </c>
      <c r="K81" s="9">
        <v>49.6</v>
      </c>
      <c r="L81" s="9">
        <v>36.1</v>
      </c>
      <c r="M81" s="9">
        <v>28</v>
      </c>
      <c r="P81" s="9"/>
      <c r="Q81" s="9"/>
    </row>
    <row r="82" spans="1:17" ht="15" customHeight="1" x14ac:dyDescent="0.2">
      <c r="A82" s="1">
        <v>1988</v>
      </c>
      <c r="B82" s="9">
        <v>27.7</v>
      </c>
      <c r="C82" s="9">
        <v>36.299999999999997</v>
      </c>
      <c r="D82" s="9">
        <v>36.9</v>
      </c>
      <c r="E82" s="9">
        <v>44.6</v>
      </c>
      <c r="F82" s="9">
        <v>50.9</v>
      </c>
      <c r="G82" s="9">
        <v>59.3</v>
      </c>
      <c r="H82" s="9">
        <v>64.599999999999994</v>
      </c>
      <c r="I82" s="9">
        <v>63.5</v>
      </c>
      <c r="J82" s="9">
        <v>54.5</v>
      </c>
      <c r="K82" s="9">
        <v>51.4</v>
      </c>
      <c r="L82" s="9">
        <v>38</v>
      </c>
      <c r="M82" s="9">
        <v>30.6</v>
      </c>
      <c r="P82" s="9"/>
      <c r="Q82" s="9"/>
    </row>
    <row r="83" spans="1:17" ht="15" customHeight="1" x14ac:dyDescent="0.2">
      <c r="A83" s="1">
        <v>1989</v>
      </c>
      <c r="B83" s="9">
        <v>29.4</v>
      </c>
      <c r="C83" s="9">
        <v>36.5</v>
      </c>
      <c r="D83" s="9">
        <v>40.5</v>
      </c>
      <c r="E83" s="9">
        <v>47.6</v>
      </c>
      <c r="F83" s="9">
        <v>52</v>
      </c>
      <c r="G83" s="9">
        <v>58.4</v>
      </c>
      <c r="H83" s="9">
        <v>65.3</v>
      </c>
      <c r="I83" s="9">
        <v>60.4</v>
      </c>
      <c r="J83" s="9">
        <v>55.7</v>
      </c>
      <c r="K83" s="9">
        <v>46.4</v>
      </c>
      <c r="L83" s="9">
        <v>36.799999999999997</v>
      </c>
      <c r="M83" s="9">
        <v>29.6</v>
      </c>
      <c r="P83" s="9"/>
      <c r="Q83" s="9"/>
    </row>
    <row r="84" spans="1:17" ht="15" customHeight="1" x14ac:dyDescent="0.2">
      <c r="A84" s="1">
        <v>1990</v>
      </c>
      <c r="B84" s="9">
        <v>28.1</v>
      </c>
      <c r="C84" s="9">
        <v>30.8</v>
      </c>
      <c r="D84" s="9">
        <v>39.700000000000003</v>
      </c>
      <c r="E84" s="9">
        <v>46.3</v>
      </c>
      <c r="F84" s="9">
        <v>51.7</v>
      </c>
      <c r="G84" s="9">
        <v>63.2</v>
      </c>
      <c r="H84" s="9">
        <v>64.3</v>
      </c>
      <c r="I84" s="9">
        <v>60.9</v>
      </c>
      <c r="J84" s="9">
        <v>59.7</v>
      </c>
      <c r="K84" s="9">
        <v>48.6</v>
      </c>
      <c r="L84" s="9">
        <v>38.4</v>
      </c>
      <c r="M84" s="9">
        <v>25.9</v>
      </c>
      <c r="P84" s="9"/>
      <c r="Q84" s="9"/>
    </row>
    <row r="85" spans="1:17" ht="15" customHeight="1" x14ac:dyDescent="0.2">
      <c r="A85" s="1">
        <v>1991</v>
      </c>
      <c r="B85" s="9">
        <v>30.4</v>
      </c>
      <c r="C85" s="9">
        <v>36</v>
      </c>
      <c r="D85" s="9">
        <v>34.299999999999997</v>
      </c>
      <c r="E85" s="9">
        <v>41.7</v>
      </c>
      <c r="F85" s="9">
        <v>49</v>
      </c>
      <c r="G85" s="9">
        <v>55.6</v>
      </c>
      <c r="H85" s="9">
        <v>63.1</v>
      </c>
      <c r="I85" s="9">
        <v>62.8</v>
      </c>
      <c r="J85" s="9">
        <v>56.7</v>
      </c>
      <c r="K85" s="9">
        <v>47.6</v>
      </c>
      <c r="L85" s="9">
        <v>36.299999999999997</v>
      </c>
      <c r="M85" s="9">
        <v>32</v>
      </c>
      <c r="P85" s="9"/>
      <c r="Q85" s="9"/>
    </row>
    <row r="86" spans="1:17" ht="15" customHeight="1" x14ac:dyDescent="0.2">
      <c r="A86" s="1">
        <v>1992</v>
      </c>
      <c r="B86" s="9">
        <v>27.4</v>
      </c>
      <c r="C86" s="9">
        <v>35</v>
      </c>
      <c r="D86" s="9">
        <v>38.5</v>
      </c>
      <c r="E86" s="9">
        <v>46.3</v>
      </c>
      <c r="F86" s="9">
        <v>52.6</v>
      </c>
      <c r="G86" s="9">
        <v>57.1</v>
      </c>
      <c r="H86" s="9">
        <v>62</v>
      </c>
      <c r="I86" s="9">
        <v>62.1</v>
      </c>
      <c r="J86" s="9">
        <v>57</v>
      </c>
      <c r="K86" s="9">
        <v>48.5</v>
      </c>
      <c r="L86" s="9">
        <v>33.700000000000003</v>
      </c>
      <c r="M86" s="9">
        <v>29.6</v>
      </c>
      <c r="P86" s="9"/>
      <c r="Q86" s="9"/>
    </row>
    <row r="87" spans="1:17" ht="15" customHeight="1" x14ac:dyDescent="0.2">
      <c r="A87" s="1">
        <v>1993</v>
      </c>
      <c r="B87" s="9">
        <v>33</v>
      </c>
      <c r="C87" s="9">
        <v>33.9</v>
      </c>
      <c r="D87" s="9">
        <v>39.200000000000003</v>
      </c>
      <c r="E87" s="9">
        <v>43.8</v>
      </c>
      <c r="F87" s="9">
        <v>51.3</v>
      </c>
      <c r="G87" s="9">
        <v>58.9</v>
      </c>
      <c r="H87" s="9">
        <v>64</v>
      </c>
      <c r="I87" s="9">
        <v>64</v>
      </c>
      <c r="J87" s="9">
        <v>55.2</v>
      </c>
      <c r="K87" s="9">
        <v>46.3</v>
      </c>
      <c r="L87" s="9">
        <v>35.6</v>
      </c>
      <c r="M87" s="9">
        <v>31.6</v>
      </c>
      <c r="P87" s="9"/>
      <c r="Q87" s="9"/>
    </row>
    <row r="88" spans="1:17" ht="15" customHeight="1" x14ac:dyDescent="0.2">
      <c r="A88" s="1">
        <v>1994</v>
      </c>
      <c r="B88" s="9">
        <v>31.5</v>
      </c>
      <c r="C88" s="9">
        <v>30.2</v>
      </c>
      <c r="D88" s="9">
        <v>37.700000000000003</v>
      </c>
      <c r="E88" s="9">
        <v>42.6</v>
      </c>
      <c r="F88" s="9">
        <v>48.9</v>
      </c>
      <c r="G88" s="9">
        <v>63.1</v>
      </c>
      <c r="H88" s="9">
        <v>65.599999999999994</v>
      </c>
      <c r="I88" s="9">
        <v>65.099999999999994</v>
      </c>
      <c r="J88" s="9">
        <v>57</v>
      </c>
      <c r="K88" s="9">
        <v>45.2</v>
      </c>
      <c r="L88" s="9">
        <v>36.1</v>
      </c>
      <c r="M88" s="9">
        <v>33</v>
      </c>
      <c r="P88" s="9"/>
      <c r="Q88" s="9"/>
    </row>
    <row r="89" spans="1:17" ht="15" customHeight="1" x14ac:dyDescent="0.2">
      <c r="A89" s="1">
        <v>1995</v>
      </c>
      <c r="B89" s="9">
        <v>30</v>
      </c>
      <c r="C89" s="9">
        <v>39.1</v>
      </c>
      <c r="D89" s="9">
        <v>40.1</v>
      </c>
      <c r="E89" s="9">
        <v>43.1</v>
      </c>
      <c r="F89" s="9">
        <v>48.9</v>
      </c>
      <c r="G89" s="9">
        <v>57.1</v>
      </c>
      <c r="H89" s="9">
        <v>63.7</v>
      </c>
      <c r="I89" s="9">
        <v>65.599999999999994</v>
      </c>
      <c r="J89" s="9">
        <v>58.2</v>
      </c>
      <c r="K89" s="9">
        <v>47.6</v>
      </c>
      <c r="L89" s="9">
        <v>40.5</v>
      </c>
      <c r="M89" s="9">
        <v>32</v>
      </c>
      <c r="P89" s="9"/>
      <c r="Q89" s="9"/>
    </row>
    <row r="90" spans="1:17" ht="15" customHeight="1" x14ac:dyDescent="0.2">
      <c r="A90" s="1">
        <v>1996</v>
      </c>
      <c r="B90" s="9">
        <v>31.8</v>
      </c>
      <c r="C90" s="9">
        <v>40</v>
      </c>
      <c r="D90" s="9">
        <v>37</v>
      </c>
      <c r="E90" s="9">
        <v>45.4</v>
      </c>
      <c r="F90" s="9">
        <v>55.4</v>
      </c>
      <c r="G90" s="9">
        <v>63</v>
      </c>
      <c r="H90" s="9">
        <v>67.8</v>
      </c>
      <c r="I90" s="9">
        <v>63.6</v>
      </c>
      <c r="J90" s="9">
        <v>56.4</v>
      </c>
      <c r="K90" s="9">
        <v>48</v>
      </c>
      <c r="L90" s="9">
        <v>39.1</v>
      </c>
      <c r="M90" s="9">
        <v>33.5</v>
      </c>
      <c r="P90" s="9"/>
      <c r="Q90" s="9"/>
    </row>
    <row r="91" spans="1:17" ht="15" customHeight="1" x14ac:dyDescent="0.2">
      <c r="A91" s="1">
        <v>1997</v>
      </c>
      <c r="B91" s="9">
        <v>29.3</v>
      </c>
      <c r="C91" s="9">
        <v>34.200000000000003</v>
      </c>
      <c r="D91" s="9">
        <v>40.1</v>
      </c>
      <c r="E91" s="9">
        <v>45.5</v>
      </c>
      <c r="F91" s="9">
        <v>54.6</v>
      </c>
      <c r="G91" s="9">
        <v>59.2</v>
      </c>
      <c r="H91" s="9">
        <v>64.599999999999994</v>
      </c>
      <c r="I91" s="9">
        <v>64.599999999999994</v>
      </c>
      <c r="J91" s="9">
        <v>62.2</v>
      </c>
      <c r="K91" s="9">
        <v>47.4</v>
      </c>
      <c r="L91" s="9">
        <v>39.299999999999997</v>
      </c>
      <c r="M91" s="9">
        <v>26.9</v>
      </c>
      <c r="P91" s="9"/>
      <c r="Q91" s="9"/>
    </row>
    <row r="92" spans="1:17" ht="15" customHeight="1" x14ac:dyDescent="0.2">
      <c r="A92" s="1">
        <v>1998</v>
      </c>
      <c r="B92" s="9">
        <v>33.4</v>
      </c>
      <c r="C92" s="9">
        <v>32.9</v>
      </c>
      <c r="D92" s="9">
        <v>38.4</v>
      </c>
      <c r="E92" s="9">
        <v>41.3</v>
      </c>
      <c r="F92" s="9">
        <v>50.9</v>
      </c>
      <c r="G92" s="9">
        <v>59.1</v>
      </c>
      <c r="H92" s="9">
        <v>66.900000000000006</v>
      </c>
      <c r="I92" s="9">
        <v>65.2</v>
      </c>
      <c r="J92" s="9">
        <v>59.8</v>
      </c>
      <c r="K92" s="9">
        <v>49.4</v>
      </c>
      <c r="L92" s="9">
        <v>39.4</v>
      </c>
      <c r="M92" s="9">
        <v>33.4</v>
      </c>
      <c r="P92" s="9"/>
      <c r="Q92" s="9"/>
    </row>
    <row r="93" spans="1:17" ht="15" customHeight="1" x14ac:dyDescent="0.2">
      <c r="A93" s="1">
        <v>1999</v>
      </c>
      <c r="B93" s="9">
        <v>34.799999999999997</v>
      </c>
      <c r="C93" s="9">
        <v>36.6</v>
      </c>
      <c r="D93" s="9">
        <v>40.9</v>
      </c>
      <c r="E93" s="9">
        <v>42.2</v>
      </c>
      <c r="F93" s="9">
        <v>52</v>
      </c>
      <c r="G93" s="9">
        <v>59.3</v>
      </c>
      <c r="H93" s="9">
        <v>64.900000000000006</v>
      </c>
      <c r="I93" s="9">
        <v>63.9</v>
      </c>
      <c r="J93" s="9">
        <v>58.3</v>
      </c>
      <c r="K93" s="9">
        <v>48</v>
      </c>
      <c r="L93" s="9">
        <v>40.799999999999997</v>
      </c>
      <c r="M93" s="9">
        <v>29.3</v>
      </c>
      <c r="P93" s="9"/>
      <c r="Q93" s="9"/>
    </row>
    <row r="94" spans="1:17" ht="15" customHeight="1" x14ac:dyDescent="0.2">
      <c r="A94" s="1">
        <v>2000</v>
      </c>
      <c r="B94" s="9">
        <v>34.6</v>
      </c>
      <c r="C94" s="9">
        <v>37.6</v>
      </c>
      <c r="D94" s="9">
        <v>38.799999999999997</v>
      </c>
      <c r="E94" s="9">
        <v>46.7</v>
      </c>
      <c r="F94" s="9">
        <v>56.5</v>
      </c>
      <c r="G94" s="9">
        <v>62.5</v>
      </c>
      <c r="H94" s="9">
        <v>65.7</v>
      </c>
      <c r="I94" s="9">
        <v>62.8</v>
      </c>
      <c r="J94" s="9">
        <v>58.1</v>
      </c>
      <c r="K94" s="9">
        <v>46.1</v>
      </c>
      <c r="L94" s="9">
        <v>32.1</v>
      </c>
      <c r="M94" s="9">
        <v>31.8</v>
      </c>
      <c r="P94" s="9"/>
      <c r="Q94" s="9"/>
    </row>
    <row r="95" spans="1:17" ht="15" customHeight="1" x14ac:dyDescent="0.2">
      <c r="A95" s="1">
        <v>2001</v>
      </c>
      <c r="B95" s="9">
        <v>27.2</v>
      </c>
      <c r="C95" s="9">
        <v>32.4</v>
      </c>
      <c r="D95" s="9">
        <v>35.5</v>
      </c>
      <c r="E95" s="9">
        <v>44.6</v>
      </c>
      <c r="F95" s="9">
        <v>52.9</v>
      </c>
      <c r="G95" s="9">
        <v>61.8</v>
      </c>
      <c r="H95" s="9">
        <v>64.900000000000006</v>
      </c>
      <c r="I95" s="9">
        <v>62.3</v>
      </c>
      <c r="J95" s="9">
        <v>58.4</v>
      </c>
      <c r="K95" s="9">
        <v>51.2</v>
      </c>
      <c r="L95" s="9">
        <v>40.200000000000003</v>
      </c>
      <c r="M95" s="9">
        <v>27.5</v>
      </c>
      <c r="P95" s="9"/>
      <c r="Q95" s="9"/>
    </row>
    <row r="96" spans="1:17" ht="15" customHeight="1" x14ac:dyDescent="0.2">
      <c r="A96" s="1">
        <v>2002</v>
      </c>
      <c r="B96" s="9">
        <v>32.5</v>
      </c>
      <c r="C96" s="9">
        <v>34.1</v>
      </c>
      <c r="D96" s="9">
        <v>37.799999999999997</v>
      </c>
      <c r="E96" s="9">
        <v>49.2</v>
      </c>
      <c r="F96" s="9">
        <v>51.4</v>
      </c>
      <c r="G96" s="9">
        <v>62.7</v>
      </c>
      <c r="H96" s="9">
        <v>65.900000000000006</v>
      </c>
      <c r="I96" s="9">
        <v>63.7</v>
      </c>
      <c r="J96" s="9">
        <v>57.6</v>
      </c>
      <c r="K96" s="9">
        <v>46</v>
      </c>
      <c r="L96" s="9">
        <v>37.9</v>
      </c>
      <c r="M96" s="9">
        <v>29.4</v>
      </c>
      <c r="P96" s="9"/>
      <c r="Q96" s="9"/>
    </row>
    <row r="97" spans="1:31" ht="15" customHeight="1" x14ac:dyDescent="0.2">
      <c r="A97" s="1">
        <v>2003</v>
      </c>
      <c r="B97" s="9">
        <v>37.6</v>
      </c>
      <c r="C97" s="9">
        <v>35</v>
      </c>
      <c r="D97" s="9">
        <v>37.4</v>
      </c>
      <c r="E97" s="9">
        <v>43.5</v>
      </c>
      <c r="F97" s="9">
        <v>53.7</v>
      </c>
      <c r="G97" s="9">
        <v>58.5</v>
      </c>
      <c r="H97" s="9">
        <v>69.3</v>
      </c>
      <c r="I97" s="9">
        <v>64.900000000000006</v>
      </c>
      <c r="J97" s="9">
        <v>59.9</v>
      </c>
      <c r="K97" s="9">
        <v>52</v>
      </c>
      <c r="L97" s="9">
        <v>39.700000000000003</v>
      </c>
      <c r="M97" s="9">
        <v>31.8</v>
      </c>
      <c r="P97" s="9"/>
      <c r="Q97" s="9"/>
    </row>
    <row r="98" spans="1:31" ht="15" customHeight="1" x14ac:dyDescent="0.2">
      <c r="A98" s="1">
        <v>2004</v>
      </c>
      <c r="B98" s="9">
        <v>33.700000000000003</v>
      </c>
      <c r="C98" s="9">
        <v>30.1</v>
      </c>
      <c r="D98" s="9">
        <v>42.9</v>
      </c>
      <c r="E98" s="9">
        <v>44.3</v>
      </c>
      <c r="F98" s="9">
        <v>53.8</v>
      </c>
      <c r="G98" s="9">
        <v>59.8</v>
      </c>
      <c r="H98" s="9">
        <v>64.599999999999994</v>
      </c>
      <c r="I98" s="9">
        <v>60.9</v>
      </c>
      <c r="J98" s="9">
        <v>56.1</v>
      </c>
      <c r="K98" s="9">
        <v>47</v>
      </c>
      <c r="L98" s="9">
        <v>36.9</v>
      </c>
      <c r="M98" s="9">
        <v>31.7</v>
      </c>
      <c r="P98" s="9"/>
      <c r="Q98" s="9"/>
    </row>
    <row r="99" spans="1:31" ht="15" customHeight="1" x14ac:dyDescent="0.2">
      <c r="A99" s="1">
        <v>2005</v>
      </c>
      <c r="B99" s="9">
        <v>34.4</v>
      </c>
      <c r="C99" s="9">
        <v>35.700000000000003</v>
      </c>
      <c r="D99" s="9">
        <v>37.700000000000003</v>
      </c>
      <c r="E99" s="9">
        <v>44.7</v>
      </c>
      <c r="F99" s="9">
        <v>53.9</v>
      </c>
      <c r="G99" s="9">
        <v>59.4</v>
      </c>
      <c r="H99" s="9">
        <v>66.2</v>
      </c>
      <c r="I99" s="9">
        <v>62.8</v>
      </c>
      <c r="J99" s="9">
        <v>58.7</v>
      </c>
      <c r="K99" s="9">
        <v>48.5</v>
      </c>
      <c r="L99" s="9">
        <v>37</v>
      </c>
      <c r="M99" s="9">
        <v>32.19</v>
      </c>
      <c r="P99" s="9"/>
      <c r="Q99" s="9"/>
    </row>
    <row r="100" spans="1:31" ht="15" customHeight="1" x14ac:dyDescent="0.2">
      <c r="A100" s="1">
        <v>2006</v>
      </c>
      <c r="B100" s="9">
        <v>34.6</v>
      </c>
      <c r="C100" s="9">
        <v>42.2</v>
      </c>
      <c r="D100" s="9">
        <v>39.4</v>
      </c>
      <c r="E100" s="9">
        <v>44.7</v>
      </c>
      <c r="F100" s="9">
        <v>54.9</v>
      </c>
      <c r="G100" s="9">
        <v>62.5</v>
      </c>
      <c r="H100" s="9">
        <v>68.3</v>
      </c>
      <c r="I100" s="9">
        <v>62.2</v>
      </c>
      <c r="J100" s="9">
        <v>54</v>
      </c>
      <c r="K100" s="9">
        <v>47.9</v>
      </c>
      <c r="L100" s="9">
        <v>37.4</v>
      </c>
      <c r="M100" s="9">
        <v>27.2</v>
      </c>
      <c r="P100" s="9"/>
      <c r="Q100" s="9"/>
    </row>
    <row r="101" spans="1:31" ht="15" customHeight="1" x14ac:dyDescent="0.2">
      <c r="A101" s="1">
        <v>2007</v>
      </c>
      <c r="B101" s="9">
        <v>25.1</v>
      </c>
      <c r="C101" s="9">
        <v>31.7</v>
      </c>
      <c r="D101" s="9">
        <v>36.4</v>
      </c>
      <c r="E101" s="9">
        <v>44.8</v>
      </c>
      <c r="F101" s="9">
        <v>51.2</v>
      </c>
      <c r="G101" s="9">
        <v>59.7</v>
      </c>
      <c r="H101" s="9">
        <v>65.400000000000006</v>
      </c>
      <c r="I101" s="9">
        <v>63.9</v>
      </c>
      <c r="J101" s="9">
        <v>58.1</v>
      </c>
      <c r="K101" s="9">
        <v>47.7</v>
      </c>
      <c r="L101" s="9">
        <v>40.1</v>
      </c>
      <c r="M101" s="9">
        <v>28.8</v>
      </c>
      <c r="P101" s="9"/>
      <c r="Q101" s="9"/>
    </row>
    <row r="102" spans="1:31" ht="15" customHeight="1" x14ac:dyDescent="0.2">
      <c r="A102" s="1">
        <v>2008</v>
      </c>
      <c r="B102" s="9">
        <v>25</v>
      </c>
      <c r="C102" s="9">
        <v>31.4</v>
      </c>
      <c r="D102" s="9">
        <v>38.4</v>
      </c>
      <c r="E102" s="9">
        <v>41</v>
      </c>
      <c r="F102" s="9">
        <v>50.21</v>
      </c>
      <c r="G102" s="9">
        <v>61</v>
      </c>
      <c r="H102" s="9">
        <v>66</v>
      </c>
      <c r="I102" s="9">
        <v>65</v>
      </c>
      <c r="J102" s="9">
        <v>58</v>
      </c>
      <c r="K102" s="9">
        <v>48.5</v>
      </c>
      <c r="L102" s="9">
        <v>41.1</v>
      </c>
      <c r="M102" s="9">
        <v>36.4</v>
      </c>
      <c r="P102" s="9"/>
      <c r="Q102" s="9"/>
    </row>
    <row r="103" spans="1:31" ht="15" customHeight="1" x14ac:dyDescent="0.2">
      <c r="A103" s="1">
        <v>2009</v>
      </c>
      <c r="B103" s="9">
        <v>36.5</v>
      </c>
      <c r="C103" s="9">
        <v>36.5</v>
      </c>
      <c r="D103" s="9">
        <v>41.8</v>
      </c>
      <c r="E103" s="9">
        <v>44.1</v>
      </c>
      <c r="F103" s="9">
        <v>55</v>
      </c>
      <c r="G103" s="9">
        <v>59.3</v>
      </c>
      <c r="H103" s="9">
        <v>67.400000000000006</v>
      </c>
      <c r="I103" s="9">
        <v>64.3</v>
      </c>
      <c r="J103" s="9">
        <v>56.7</v>
      </c>
      <c r="K103" s="9">
        <v>47.9</v>
      </c>
      <c r="L103" s="9">
        <v>40.1</v>
      </c>
      <c r="M103" s="9">
        <v>29.6</v>
      </c>
      <c r="P103" s="9"/>
      <c r="Q103" s="9"/>
      <c r="S103"/>
      <c r="T103"/>
      <c r="U103"/>
      <c r="V103"/>
      <c r="W103"/>
      <c r="X103"/>
      <c r="Y103"/>
      <c r="Z103"/>
      <c r="AA103"/>
      <c r="AB103"/>
      <c r="AC103"/>
      <c r="AD103"/>
    </row>
    <row r="104" spans="1:31" ht="15" customHeight="1" x14ac:dyDescent="0.2">
      <c r="A104" s="1">
        <v>2010</v>
      </c>
      <c r="B104" s="9">
        <v>31.9</v>
      </c>
      <c r="C104" s="9">
        <v>31.6</v>
      </c>
      <c r="D104" s="9">
        <v>38.1</v>
      </c>
      <c r="E104" s="9">
        <v>46.5</v>
      </c>
      <c r="F104" s="9">
        <v>50.3</v>
      </c>
      <c r="G104" s="9">
        <v>61.2</v>
      </c>
      <c r="H104" s="9">
        <v>67.099999999999994</v>
      </c>
      <c r="I104" s="9">
        <v>65.5</v>
      </c>
      <c r="J104" s="9">
        <v>61.2</v>
      </c>
      <c r="K104" s="9">
        <v>50.5</v>
      </c>
      <c r="L104" s="9">
        <v>36.200000000000003</v>
      </c>
      <c r="M104" s="9">
        <v>37.9</v>
      </c>
      <c r="P104" s="9"/>
      <c r="Q104" s="9"/>
    </row>
    <row r="105" spans="1:31" ht="15" customHeight="1" x14ac:dyDescent="0.2">
      <c r="A105" s="1">
        <v>2011</v>
      </c>
      <c r="B105" s="9">
        <v>30.3</v>
      </c>
      <c r="C105" s="9">
        <v>32.4</v>
      </c>
      <c r="D105" s="9">
        <v>43</v>
      </c>
      <c r="E105" s="9">
        <v>48.6</v>
      </c>
      <c r="F105" s="9">
        <v>50.4</v>
      </c>
      <c r="G105" s="9">
        <v>61</v>
      </c>
      <c r="H105" s="9">
        <v>67.599999999999994</v>
      </c>
      <c r="I105" s="9">
        <v>67.599999999999994</v>
      </c>
      <c r="J105" s="9">
        <v>59.1</v>
      </c>
      <c r="K105" s="9">
        <v>48.7</v>
      </c>
      <c r="L105" s="9">
        <v>38.6</v>
      </c>
      <c r="M105" s="9">
        <v>28.9</v>
      </c>
      <c r="P105" s="9"/>
      <c r="Q105" s="9"/>
    </row>
    <row r="106" spans="1:31" ht="15" customHeight="1" x14ac:dyDescent="0.2">
      <c r="A106" s="1">
        <v>2012</v>
      </c>
      <c r="B106" s="9">
        <v>35.299999999999997</v>
      </c>
      <c r="C106" s="9">
        <v>35.200000000000003</v>
      </c>
      <c r="D106" s="9">
        <v>39.4</v>
      </c>
      <c r="E106" s="9">
        <v>47.5</v>
      </c>
      <c r="F106" s="9">
        <v>53.8</v>
      </c>
      <c r="G106" s="9">
        <v>63.5</v>
      </c>
      <c r="H106" s="9">
        <v>67.8</v>
      </c>
      <c r="I106" s="9">
        <v>65.900000000000006</v>
      </c>
      <c r="J106" s="9">
        <v>58.7</v>
      </c>
      <c r="K106" s="9">
        <v>49.5</v>
      </c>
      <c r="L106" s="9">
        <v>40.799999999999997</v>
      </c>
      <c r="M106" s="9">
        <v>32</v>
      </c>
      <c r="P106" s="9"/>
      <c r="Q106" s="9"/>
    </row>
    <row r="107" spans="1:31" ht="15" customHeight="1" x14ac:dyDescent="0.2">
      <c r="A107" s="1">
        <v>2013</v>
      </c>
      <c r="B107" s="9">
        <v>27.2</v>
      </c>
      <c r="C107" s="9">
        <v>31.2</v>
      </c>
      <c r="D107" s="9">
        <v>41.6</v>
      </c>
      <c r="E107" s="9">
        <v>46.8</v>
      </c>
      <c r="F107" s="9">
        <v>52.5</v>
      </c>
      <c r="G107" s="9">
        <v>63.6</v>
      </c>
      <c r="H107" s="9">
        <v>67.400000000000006</v>
      </c>
      <c r="I107" s="9">
        <v>64.599999999999994</v>
      </c>
      <c r="J107" s="9">
        <v>59.4</v>
      </c>
      <c r="K107" s="9">
        <v>45.5</v>
      </c>
      <c r="L107" s="9">
        <v>39.700000000000003</v>
      </c>
      <c r="M107" s="9">
        <v>33.4</v>
      </c>
      <c r="P107" s="9"/>
      <c r="Q107" s="9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" customHeight="1" x14ac:dyDescent="0.2">
      <c r="A108" s="1">
        <v>2014</v>
      </c>
      <c r="B108" s="9">
        <v>34.799999999999997</v>
      </c>
      <c r="C108" s="9">
        <v>39.299999999999997</v>
      </c>
      <c r="D108" s="9">
        <v>41</v>
      </c>
      <c r="E108" s="9">
        <v>45.2</v>
      </c>
      <c r="F108" s="9">
        <v>50.7</v>
      </c>
      <c r="G108" s="9">
        <v>61.5</v>
      </c>
      <c r="H108" s="9">
        <v>67</v>
      </c>
      <c r="I108" s="9">
        <v>62.6</v>
      </c>
      <c r="J108" s="9">
        <v>62.1</v>
      </c>
      <c r="K108" s="9">
        <v>51.1</v>
      </c>
      <c r="L108" s="9">
        <v>39.799999999999997</v>
      </c>
      <c r="M108" s="9">
        <v>35.200000000000003</v>
      </c>
      <c r="P108" s="9"/>
      <c r="Q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ht="15" customHeight="1" x14ac:dyDescent="0.2">
      <c r="A109" s="1">
        <v>2015</v>
      </c>
      <c r="B109" s="9">
        <v>35.299999999999997</v>
      </c>
      <c r="C109" s="9">
        <v>40.5</v>
      </c>
      <c r="D109" s="9">
        <v>43.1</v>
      </c>
      <c r="E109" s="9">
        <v>44.8</v>
      </c>
      <c r="F109" s="9">
        <v>47.7</v>
      </c>
      <c r="G109" s="9">
        <v>61</v>
      </c>
      <c r="H109" s="9">
        <v>62.1</v>
      </c>
      <c r="I109" s="9">
        <v>63.5</v>
      </c>
      <c r="J109" s="9">
        <v>58.6</v>
      </c>
      <c r="K109" s="9">
        <v>49.5</v>
      </c>
      <c r="L109" s="9">
        <v>37.5</v>
      </c>
      <c r="M109" s="9">
        <v>30</v>
      </c>
      <c r="P109" s="9"/>
      <c r="Q109" s="9"/>
      <c r="T109" s="9"/>
      <c r="U109" s="7"/>
      <c r="V109" s="7"/>
      <c r="W109" s="7"/>
      <c r="X109" s="7"/>
      <c r="Y109" s="9"/>
      <c r="Z109" s="9"/>
      <c r="AA109" s="9"/>
      <c r="AB109" s="9"/>
      <c r="AC109" s="9"/>
      <c r="AD109" s="9"/>
      <c r="AE109" s="9"/>
    </row>
    <row r="110" spans="1:31" ht="15" customHeight="1" x14ac:dyDescent="0.2">
      <c r="A110" s="1">
        <v>2016</v>
      </c>
      <c r="B110" s="9">
        <v>30.8</v>
      </c>
      <c r="C110" s="9">
        <v>35.799999999999997</v>
      </c>
      <c r="D110" s="9">
        <v>41.3</v>
      </c>
      <c r="E110" s="9">
        <v>40.799999999999997</v>
      </c>
      <c r="F110" s="9">
        <v>47.1</v>
      </c>
      <c r="G110" s="9">
        <v>60.8</v>
      </c>
      <c r="H110" s="9">
        <v>63.5</v>
      </c>
      <c r="I110" s="9">
        <v>58.2</v>
      </c>
      <c r="J110" s="9">
        <v>53.4</v>
      </c>
      <c r="K110" s="9">
        <v>49.8</v>
      </c>
      <c r="L110" s="9">
        <v>38.299999999999997</v>
      </c>
      <c r="M110" s="9">
        <v>34.9</v>
      </c>
      <c r="P110" s="9"/>
      <c r="Q110" s="9"/>
      <c r="U110" s="9"/>
      <c r="V110" s="9"/>
      <c r="W110" s="9"/>
      <c r="X110" s="9"/>
    </row>
    <row r="111" spans="1:31" ht="15" customHeight="1" x14ac:dyDescent="0.2">
      <c r="A111" s="1">
        <v>2017</v>
      </c>
      <c r="B111" s="9">
        <v>30.4</v>
      </c>
      <c r="C111" s="9">
        <v>38</v>
      </c>
      <c r="D111" s="9">
        <v>42.3</v>
      </c>
      <c r="E111" s="9">
        <v>45.5</v>
      </c>
      <c r="F111" s="9">
        <v>49.4</v>
      </c>
      <c r="G111" s="9">
        <v>61.8</v>
      </c>
      <c r="H111" s="9">
        <v>63</v>
      </c>
      <c r="I111" s="9">
        <v>60.1</v>
      </c>
      <c r="J111" s="9">
        <v>55.3</v>
      </c>
      <c r="K111" s="9">
        <v>49.5</v>
      </c>
      <c r="L111" s="9">
        <v>44.5</v>
      </c>
      <c r="M111" s="9">
        <v>34.6</v>
      </c>
      <c r="P111" s="9"/>
      <c r="Q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ht="15" customHeight="1" x14ac:dyDescent="0.2">
      <c r="A112" s="1">
        <v>2018</v>
      </c>
      <c r="B112" s="9">
        <v>33.5</v>
      </c>
      <c r="C112" s="9">
        <v>35.1</v>
      </c>
      <c r="D112" s="9">
        <v>39.4</v>
      </c>
      <c r="E112" s="9">
        <v>46.4</v>
      </c>
      <c r="F112" s="9">
        <v>52</v>
      </c>
      <c r="G112" s="9">
        <v>63</v>
      </c>
      <c r="H112" s="9">
        <v>64</v>
      </c>
      <c r="I112" s="9">
        <v>61.5</v>
      </c>
      <c r="J112" s="9">
        <v>57.3</v>
      </c>
      <c r="K112" s="9">
        <v>45</v>
      </c>
      <c r="L112" s="9">
        <v>36.5</v>
      </c>
      <c r="M112" s="9">
        <v>30.1</v>
      </c>
      <c r="P112" s="9"/>
      <c r="Q112" s="9"/>
      <c r="U112" s="9"/>
      <c r="V112" s="9"/>
      <c r="W112" s="9"/>
      <c r="X112" s="9"/>
    </row>
    <row r="113" spans="1:19" ht="15" customHeight="1" x14ac:dyDescent="0.2">
      <c r="A113" s="1">
        <v>2019</v>
      </c>
      <c r="B113" s="9">
        <v>29.4</v>
      </c>
      <c r="C113" s="9">
        <v>29.8</v>
      </c>
      <c r="D113" s="9">
        <v>36.200000000000003</v>
      </c>
      <c r="E113" s="9">
        <v>46.7</v>
      </c>
      <c r="F113" s="9">
        <v>46.7</v>
      </c>
      <c r="G113" s="9">
        <v>57</v>
      </c>
      <c r="H113" s="9">
        <v>63.2</v>
      </c>
      <c r="I113" s="9">
        <v>63.4</v>
      </c>
      <c r="J113" s="9">
        <v>56.3</v>
      </c>
      <c r="K113" s="9">
        <v>45.6</v>
      </c>
      <c r="L113" s="9">
        <v>38.1</v>
      </c>
      <c r="M113" s="9">
        <v>32.4</v>
      </c>
      <c r="P113" s="9"/>
      <c r="Q113" s="9"/>
    </row>
    <row r="114" spans="1:19" ht="15" customHeight="1" x14ac:dyDescent="0.2">
      <c r="A114" s="1">
        <v>2020</v>
      </c>
      <c r="B114" s="9">
        <v>31.3</v>
      </c>
      <c r="C114" s="9">
        <v>34.880000000000003</v>
      </c>
      <c r="D114" s="9">
        <v>40.04</v>
      </c>
      <c r="E114" s="9">
        <v>47.7</v>
      </c>
      <c r="F114" s="9">
        <v>57.91</v>
      </c>
      <c r="G114" s="9">
        <v>64.81</v>
      </c>
      <c r="H114" s="9">
        <v>67.05</v>
      </c>
      <c r="I114" s="9">
        <v>66.58</v>
      </c>
      <c r="J114" s="9">
        <v>59.56</v>
      </c>
      <c r="K114" s="9">
        <v>49.63</v>
      </c>
      <c r="L114" s="9">
        <v>39.74</v>
      </c>
      <c r="M114" s="9">
        <v>28.09</v>
      </c>
      <c r="P114" s="9"/>
      <c r="Q114" s="9"/>
    </row>
    <row r="115" spans="1:19" ht="15" customHeight="1" x14ac:dyDescent="0.2">
      <c r="A115" s="1">
        <v>2021</v>
      </c>
      <c r="B115" s="9">
        <v>29.3</v>
      </c>
      <c r="C115" s="9">
        <v>34.5</v>
      </c>
      <c r="D115" s="9">
        <v>37.700000000000003</v>
      </c>
      <c r="E115" s="9">
        <v>48</v>
      </c>
      <c r="F115" s="9">
        <v>56.6</v>
      </c>
      <c r="G115" s="9">
        <v>67.2</v>
      </c>
      <c r="H115" s="9">
        <v>65.900000000000006</v>
      </c>
      <c r="I115" s="9">
        <v>63.8</v>
      </c>
      <c r="J115" s="9">
        <v>59.8</v>
      </c>
      <c r="K115" s="9">
        <v>46.6</v>
      </c>
      <c r="L115" s="9">
        <v>39.299999999999997</v>
      </c>
      <c r="M115" s="9">
        <v>34.5</v>
      </c>
      <c r="P115" s="9"/>
      <c r="Q115" s="9"/>
    </row>
    <row r="116" spans="1:19" ht="15" customHeight="1" x14ac:dyDescent="0.2">
      <c r="A116" s="1">
        <v>2022</v>
      </c>
      <c r="B116" s="9">
        <v>29.896086369770579</v>
      </c>
      <c r="C116" s="9">
        <v>29.854166666666668</v>
      </c>
      <c r="D116" s="9">
        <v>38.545698924731184</v>
      </c>
      <c r="E116" s="9">
        <v>48.980446927374302</v>
      </c>
      <c r="F116" s="9">
        <v>58.438172043010752</v>
      </c>
      <c r="G116" s="9">
        <v>65.057023643949933</v>
      </c>
      <c r="H116" s="9">
        <v>66.673387096774192</v>
      </c>
      <c r="I116" s="9">
        <v>63.295698924731184</v>
      </c>
      <c r="J116" s="9">
        <v>59.508474576271183</v>
      </c>
      <c r="K116" s="9">
        <v>46.684281842818429</v>
      </c>
      <c r="L116" s="9">
        <v>33.452646239554319</v>
      </c>
      <c r="M116" s="9">
        <v>31.538978494623656</v>
      </c>
      <c r="P116" s="9"/>
      <c r="Q116" s="9"/>
    </row>
    <row r="117" spans="1:19" ht="15" customHeight="1" x14ac:dyDescent="0.2">
      <c r="A117" s="1">
        <v>2023</v>
      </c>
      <c r="B117" s="9">
        <v>28.235054347826086</v>
      </c>
      <c r="C117" s="9">
        <v>29.700892857142858</v>
      </c>
      <c r="D117" s="9">
        <v>37.65456989247312</v>
      </c>
      <c r="E117" s="9">
        <v>46.123783031988872</v>
      </c>
      <c r="F117" s="9">
        <v>53.9177897574124</v>
      </c>
      <c r="G117" s="9">
        <v>61.020833333333336</v>
      </c>
      <c r="H117" s="9">
        <v>70.701612903225808</v>
      </c>
      <c r="I117" s="9">
        <v>66.16935483870968</v>
      </c>
      <c r="J117" s="9">
        <v>60.290277777777774</v>
      </c>
      <c r="K117" s="9">
        <v>49.811827956989248</v>
      </c>
      <c r="L117" s="9">
        <v>38.604166666666664</v>
      </c>
      <c r="M117" s="9">
        <v>30.964721845318859</v>
      </c>
      <c r="P117" s="9"/>
      <c r="Q117" s="9"/>
    </row>
    <row r="118" spans="1:19" s="2" customFormat="1" ht="15" customHeight="1" x14ac:dyDescent="0.2">
      <c r="A118" s="1">
        <v>2024</v>
      </c>
      <c r="B118" s="1">
        <v>31.4</v>
      </c>
      <c r="C118" s="1">
        <v>35.799999999999997</v>
      </c>
      <c r="D118" s="1">
        <v>37.6</v>
      </c>
      <c r="E118" s="1">
        <v>44</v>
      </c>
      <c r="F118" s="1">
        <v>51.6</v>
      </c>
      <c r="G118" s="1">
        <v>65.599999999999994</v>
      </c>
      <c r="H118" s="1">
        <v>67.400000000000006</v>
      </c>
      <c r="I118" s="1">
        <v>66.5</v>
      </c>
      <c r="J118" s="1">
        <v>62.5</v>
      </c>
      <c r="K118" s="1">
        <v>53.2</v>
      </c>
      <c r="L118" s="1">
        <v>35.700000000000003</v>
      </c>
      <c r="M118" s="1">
        <v>36.4</v>
      </c>
      <c r="P118" s="9"/>
      <c r="Q118" s="9"/>
    </row>
    <row r="119" spans="1:19" ht="15" customHeight="1" x14ac:dyDescent="0.2">
      <c r="A119" s="2" t="s">
        <v>108</v>
      </c>
      <c r="B119" s="2"/>
      <c r="C119" s="2"/>
      <c r="D119" s="2"/>
      <c r="E119" s="2"/>
      <c r="F119" s="2"/>
      <c r="G119" s="2"/>
      <c r="H119" s="2"/>
      <c r="I119" s="2"/>
      <c r="J119" s="12"/>
      <c r="K119" s="12"/>
      <c r="L119" s="12"/>
      <c r="P119" s="9"/>
      <c r="Q119" s="9"/>
    </row>
    <row r="120" spans="1:19" ht="15" customHeight="1" x14ac:dyDescent="0.2">
      <c r="A120" s="1">
        <v>1968</v>
      </c>
      <c r="B120" s="1" t="s">
        <v>11</v>
      </c>
      <c r="M120" s="9"/>
      <c r="P120" s="9"/>
      <c r="Q120" s="9"/>
      <c r="S120" s="11"/>
    </row>
    <row r="121" spans="1:19" ht="15" customHeight="1" x14ac:dyDescent="0.2">
      <c r="A121" s="1">
        <v>1969</v>
      </c>
      <c r="B121" s="1" t="s">
        <v>11</v>
      </c>
      <c r="K121" s="9"/>
      <c r="L121" s="9"/>
      <c r="Q121" s="9"/>
    </row>
    <row r="122" spans="1:19" ht="15" customHeight="1" x14ac:dyDescent="0.2">
      <c r="A122" s="1">
        <v>1970</v>
      </c>
      <c r="B122" s="1" t="s">
        <v>11</v>
      </c>
      <c r="I122" s="9"/>
      <c r="K122" s="9"/>
      <c r="L122" s="9"/>
    </row>
    <row r="123" spans="1:19" ht="15" customHeight="1" x14ac:dyDescent="0.2">
      <c r="A123" s="1">
        <v>1971</v>
      </c>
      <c r="B123" s="1" t="s">
        <v>11</v>
      </c>
    </row>
    <row r="124" spans="1:19" ht="15" customHeight="1" x14ac:dyDescent="0.2">
      <c r="A124" s="1">
        <v>1972</v>
      </c>
      <c r="B124" s="1" t="s">
        <v>11</v>
      </c>
      <c r="M124" s="9"/>
    </row>
    <row r="125" spans="1:19" ht="15" customHeight="1" x14ac:dyDescent="0.2">
      <c r="A125" s="1">
        <v>1973</v>
      </c>
      <c r="B125" s="1" t="s">
        <v>11</v>
      </c>
    </row>
    <row r="126" spans="1:19" ht="15" customHeight="1" x14ac:dyDescent="0.2">
      <c r="A126" s="1">
        <v>1974</v>
      </c>
      <c r="B126" s="1" t="s">
        <v>11</v>
      </c>
    </row>
    <row r="127" spans="1:19" ht="15" customHeight="1" x14ac:dyDescent="0.2">
      <c r="A127" s="1">
        <v>1975</v>
      </c>
      <c r="B127" s="1" t="s">
        <v>33</v>
      </c>
    </row>
    <row r="128" spans="1:19" ht="15" customHeight="1" x14ac:dyDescent="0.2">
      <c r="A128" s="1">
        <v>1976</v>
      </c>
      <c r="B128" s="1" t="s">
        <v>160</v>
      </c>
    </row>
    <row r="129" spans="1:2" ht="15" customHeight="1" x14ac:dyDescent="0.2">
      <c r="A129" s="1">
        <v>1977</v>
      </c>
      <c r="B129" s="1" t="s">
        <v>161</v>
      </c>
    </row>
    <row r="130" spans="1:2" ht="15" customHeight="1" x14ac:dyDescent="0.2">
      <c r="A130" s="1">
        <v>1978</v>
      </c>
      <c r="B130" s="1" t="s">
        <v>43</v>
      </c>
    </row>
    <row r="131" spans="1:2" ht="15" customHeight="1" x14ac:dyDescent="0.2">
      <c r="A131" s="1">
        <v>1979</v>
      </c>
      <c r="B131" s="1" t="s">
        <v>11</v>
      </c>
    </row>
    <row r="132" spans="1:2" ht="15" customHeight="1" x14ac:dyDescent="0.2">
      <c r="A132" s="1">
        <v>1980</v>
      </c>
      <c r="B132" s="1" t="s">
        <v>49</v>
      </c>
    </row>
    <row r="133" spans="1:2" ht="15" customHeight="1" x14ac:dyDescent="0.2">
      <c r="A133" s="1">
        <v>1981</v>
      </c>
      <c r="B133" s="1" t="s">
        <v>11</v>
      </c>
    </row>
    <row r="134" spans="1:2" ht="15" customHeight="1" x14ac:dyDescent="0.2">
      <c r="A134" s="1">
        <v>1982</v>
      </c>
      <c r="B134" s="1" t="s">
        <v>11</v>
      </c>
    </row>
    <row r="135" spans="1:2" ht="15" customHeight="1" x14ac:dyDescent="0.2">
      <c r="A135" s="1">
        <v>1983</v>
      </c>
      <c r="B135" s="1" t="s">
        <v>11</v>
      </c>
    </row>
    <row r="136" spans="1:2" ht="15" customHeight="1" x14ac:dyDescent="0.2">
      <c r="A136" s="1">
        <v>1984</v>
      </c>
      <c r="B136" s="1" t="s">
        <v>11</v>
      </c>
    </row>
    <row r="137" spans="1:2" ht="15" customHeight="1" x14ac:dyDescent="0.2">
      <c r="A137" s="1">
        <v>1985</v>
      </c>
      <c r="B137" s="1" t="s">
        <v>11</v>
      </c>
    </row>
    <row r="138" spans="1:2" ht="15" customHeight="1" x14ac:dyDescent="0.2">
      <c r="A138" s="1">
        <v>1986</v>
      </c>
      <c r="B138" s="1" t="s">
        <v>11</v>
      </c>
    </row>
    <row r="139" spans="1:2" ht="15" customHeight="1" x14ac:dyDescent="0.2">
      <c r="A139" s="1">
        <v>1987</v>
      </c>
      <c r="B139" s="1" t="s">
        <v>11</v>
      </c>
    </row>
    <row r="140" spans="1:2" ht="15" customHeight="1" x14ac:dyDescent="0.2">
      <c r="A140" s="1">
        <v>1988</v>
      </c>
      <c r="B140" s="1" t="s">
        <v>11</v>
      </c>
    </row>
    <row r="141" spans="1:2" ht="15" customHeight="1" x14ac:dyDescent="0.2">
      <c r="A141" s="1">
        <v>1989</v>
      </c>
      <c r="B141" s="1" t="s">
        <v>11</v>
      </c>
    </row>
    <row r="142" spans="1:2" ht="15" customHeight="1" x14ac:dyDescent="0.2">
      <c r="A142" s="1">
        <v>1990</v>
      </c>
      <c r="B142" s="1" t="s">
        <v>11</v>
      </c>
    </row>
    <row r="143" spans="1:2" ht="15" customHeight="1" x14ac:dyDescent="0.2">
      <c r="A143" s="1">
        <v>1991</v>
      </c>
      <c r="B143" s="1" t="s">
        <v>11</v>
      </c>
    </row>
    <row r="144" spans="1:2" ht="15" customHeight="1" x14ac:dyDescent="0.2">
      <c r="A144" s="1">
        <v>1992</v>
      </c>
      <c r="B144" s="1" t="s">
        <v>11</v>
      </c>
    </row>
    <row r="145" spans="1:2" ht="15" customHeight="1" x14ac:dyDescent="0.2">
      <c r="A145" s="1">
        <v>1993</v>
      </c>
      <c r="B145" s="1" t="s">
        <v>11</v>
      </c>
    </row>
    <row r="146" spans="1:2" ht="15" customHeight="1" x14ac:dyDescent="0.2">
      <c r="A146" s="1">
        <v>1994</v>
      </c>
      <c r="B146" s="1" t="s">
        <v>11</v>
      </c>
    </row>
    <row r="147" spans="1:2" ht="15" customHeight="1" x14ac:dyDescent="0.2">
      <c r="A147" s="1">
        <v>1995</v>
      </c>
      <c r="B147" s="1" t="s">
        <v>11</v>
      </c>
    </row>
    <row r="148" spans="1:2" ht="15" customHeight="1" x14ac:dyDescent="0.2">
      <c r="A148" s="1">
        <v>1996</v>
      </c>
      <c r="B148" s="1" t="s">
        <v>11</v>
      </c>
    </row>
    <row r="149" spans="1:2" ht="15" customHeight="1" x14ac:dyDescent="0.2">
      <c r="A149" s="1">
        <v>1997</v>
      </c>
      <c r="B149" s="1" t="s">
        <v>11</v>
      </c>
    </row>
    <row r="150" spans="1:2" ht="15" customHeight="1" x14ac:dyDescent="0.2">
      <c r="A150" s="1">
        <v>1998</v>
      </c>
      <c r="B150" s="1" t="s">
        <v>11</v>
      </c>
    </row>
    <row r="151" spans="1:2" ht="15" customHeight="1" x14ac:dyDescent="0.2">
      <c r="A151" s="1">
        <v>1999</v>
      </c>
      <c r="B151" s="1" t="s">
        <v>76</v>
      </c>
    </row>
    <row r="152" spans="1:2" ht="15" customHeight="1" x14ac:dyDescent="0.2">
      <c r="A152" s="1">
        <v>2000</v>
      </c>
      <c r="B152" s="1" t="s">
        <v>162</v>
      </c>
    </row>
    <row r="153" spans="1:2" ht="15" customHeight="1" x14ac:dyDescent="0.2">
      <c r="A153" s="1">
        <v>2001</v>
      </c>
      <c r="B153" s="1" t="s">
        <v>73</v>
      </c>
    </row>
    <row r="154" spans="1:2" ht="15" customHeight="1" x14ac:dyDescent="0.2">
      <c r="A154" s="1">
        <v>2002</v>
      </c>
      <c r="B154" s="1" t="s">
        <v>11</v>
      </c>
    </row>
    <row r="155" spans="1:2" ht="15" customHeight="1" x14ac:dyDescent="0.2">
      <c r="A155" s="1">
        <v>2003</v>
      </c>
      <c r="B155" s="1" t="s">
        <v>74</v>
      </c>
    </row>
    <row r="156" spans="1:2" ht="15" customHeight="1" x14ac:dyDescent="0.2">
      <c r="A156" s="1">
        <v>2004</v>
      </c>
      <c r="B156" s="1" t="s">
        <v>75</v>
      </c>
    </row>
    <row r="157" spans="1:2" ht="15" customHeight="1" x14ac:dyDescent="0.2">
      <c r="A157" s="1">
        <v>2005</v>
      </c>
      <c r="B157" s="1" t="s">
        <v>92</v>
      </c>
    </row>
    <row r="158" spans="1:2" ht="15" customHeight="1" x14ac:dyDescent="0.2">
      <c r="A158" s="1">
        <v>2006</v>
      </c>
      <c r="B158" s="1" t="s">
        <v>11</v>
      </c>
    </row>
    <row r="159" spans="1:2" ht="15" customHeight="1" x14ac:dyDescent="0.2">
      <c r="A159" s="1">
        <v>2007</v>
      </c>
      <c r="B159" s="1" t="s">
        <v>112</v>
      </c>
    </row>
    <row r="160" spans="1:2" ht="15" customHeight="1" x14ac:dyDescent="0.2">
      <c r="A160" s="1">
        <v>2008</v>
      </c>
      <c r="B160" s="1" t="s">
        <v>141</v>
      </c>
    </row>
    <row r="161" spans="1:17" ht="15" customHeight="1" x14ac:dyDescent="0.2">
      <c r="A161" s="1">
        <v>2009</v>
      </c>
      <c r="B161" s="1" t="s">
        <v>11</v>
      </c>
    </row>
    <row r="162" spans="1:17" ht="15" customHeight="1" x14ac:dyDescent="0.2">
      <c r="A162" s="1">
        <v>2010</v>
      </c>
      <c r="B162" s="1" t="s">
        <v>11</v>
      </c>
    </row>
    <row r="163" spans="1:17" ht="15" customHeight="1" x14ac:dyDescent="0.2">
      <c r="A163" s="1">
        <v>2011</v>
      </c>
      <c r="B163" s="1" t="s">
        <v>11</v>
      </c>
    </row>
    <row r="164" spans="1:17" ht="15" customHeight="1" x14ac:dyDescent="0.2">
      <c r="A164" s="1">
        <v>2012</v>
      </c>
      <c r="B164" s="1" t="s">
        <v>11</v>
      </c>
      <c r="Q164" s="18"/>
    </row>
    <row r="165" spans="1:17" ht="15" customHeight="1" x14ac:dyDescent="0.2">
      <c r="A165" s="1">
        <v>2013</v>
      </c>
      <c r="B165" s="1" t="s">
        <v>11</v>
      </c>
      <c r="Q165"/>
    </row>
    <row r="166" spans="1:17" ht="15" customHeight="1" x14ac:dyDescent="0.2">
      <c r="A166" s="1">
        <v>2014</v>
      </c>
      <c r="B166" s="1" t="s">
        <v>11</v>
      </c>
      <c r="Q166"/>
    </row>
    <row r="167" spans="1:17" ht="15" customHeight="1" x14ac:dyDescent="0.2">
      <c r="A167" s="1">
        <v>2015</v>
      </c>
      <c r="B167" s="1" t="s">
        <v>202</v>
      </c>
    </row>
    <row r="168" spans="1:17" ht="15" customHeight="1" x14ac:dyDescent="0.2">
      <c r="A168" s="1">
        <v>2016</v>
      </c>
      <c r="B168" s="1" t="s">
        <v>204</v>
      </c>
    </row>
    <row r="169" spans="1:17" ht="15" customHeight="1" x14ac:dyDescent="0.2">
      <c r="A169" s="1">
        <v>2017</v>
      </c>
      <c r="B169" s="1" t="s">
        <v>204</v>
      </c>
    </row>
    <row r="170" spans="1:17" ht="15" customHeight="1" x14ac:dyDescent="0.2">
      <c r="A170" s="1">
        <v>2018</v>
      </c>
      <c r="B170" s="1" t="s">
        <v>212</v>
      </c>
    </row>
    <row r="171" spans="1:17" ht="15" customHeight="1" x14ac:dyDescent="0.2">
      <c r="A171" s="1">
        <v>2019</v>
      </c>
      <c r="B171" s="1" t="s">
        <v>213</v>
      </c>
    </row>
    <row r="172" spans="1:17" ht="15" customHeight="1" x14ac:dyDescent="0.2">
      <c r="A172" s="1">
        <v>2020</v>
      </c>
      <c r="B172" s="1" t="s">
        <v>217</v>
      </c>
      <c r="J172" s="16" t="s">
        <v>218</v>
      </c>
    </row>
    <row r="173" spans="1:17" ht="15" customHeight="1" x14ac:dyDescent="0.2">
      <c r="A173" s="1">
        <v>2021</v>
      </c>
      <c r="B173" s="1" t="s">
        <v>221</v>
      </c>
      <c r="J173" s="16"/>
    </row>
    <row r="174" spans="1:17" ht="15" customHeight="1" x14ac:dyDescent="0.2">
      <c r="A174" s="1">
        <v>2022</v>
      </c>
      <c r="B174" s="1" t="s">
        <v>221</v>
      </c>
      <c r="J174" s="16"/>
    </row>
    <row r="175" spans="1:17" ht="15" customHeight="1" x14ac:dyDescent="0.2">
      <c r="A175" s="1">
        <v>2023</v>
      </c>
      <c r="B175" s="1" t="s">
        <v>221</v>
      </c>
      <c r="J175" s="16"/>
    </row>
    <row r="176" spans="1:17" s="2" customFormat="1" ht="15" customHeight="1" x14ac:dyDescent="0.2">
      <c r="A176" s="1">
        <v>2024</v>
      </c>
      <c r="B176" s="1" t="s">
        <v>235</v>
      </c>
      <c r="C176" s="1"/>
      <c r="D176" s="1"/>
      <c r="E176" s="1"/>
      <c r="F176" s="1"/>
      <c r="G176" s="1"/>
      <c r="H176" s="1"/>
      <c r="I176" s="1"/>
      <c r="J176" s="16"/>
      <c r="K176" s="1"/>
      <c r="L176" s="1"/>
    </row>
    <row r="177" spans="1:12" s="2" customFormat="1" ht="15" customHeight="1" x14ac:dyDescent="0.2">
      <c r="A177" s="2" t="s">
        <v>0</v>
      </c>
      <c r="B177" s="2" t="s">
        <v>136</v>
      </c>
      <c r="J177" s="11"/>
    </row>
    <row r="178" spans="1:12" ht="15" customHeight="1" x14ac:dyDescent="0.2">
      <c r="A178" s="2"/>
      <c r="B178" s="1" t="s">
        <v>137</v>
      </c>
      <c r="C178" s="2"/>
      <c r="D178" s="2"/>
      <c r="E178" s="1" t="s">
        <v>137</v>
      </c>
      <c r="F178" s="2"/>
      <c r="G178" s="2"/>
      <c r="H178" s="1" t="s">
        <v>140</v>
      </c>
      <c r="I178" s="2"/>
      <c r="J178" s="2"/>
      <c r="K178" s="1" t="s">
        <v>140</v>
      </c>
      <c r="L178" s="2"/>
    </row>
    <row r="179" spans="1:12" ht="15" customHeight="1" x14ac:dyDescent="0.2">
      <c r="B179" s="8" t="s">
        <v>139</v>
      </c>
      <c r="C179" s="8"/>
      <c r="E179" s="8" t="s">
        <v>138</v>
      </c>
      <c r="F179" s="8"/>
      <c r="H179" s="8" t="s">
        <v>138</v>
      </c>
      <c r="I179" s="8"/>
      <c r="K179" s="8" t="s">
        <v>139</v>
      </c>
      <c r="L179" s="8"/>
    </row>
    <row r="180" spans="1:12" ht="15" customHeight="1" x14ac:dyDescent="0.2">
      <c r="A180" s="1">
        <v>1968</v>
      </c>
      <c r="B180" s="1">
        <v>6</v>
      </c>
      <c r="C180" s="1">
        <v>10</v>
      </c>
      <c r="E180" s="1">
        <v>6</v>
      </c>
      <c r="F180" s="1">
        <v>12</v>
      </c>
      <c r="H180" s="1">
        <v>8</v>
      </c>
      <c r="I180" s="1">
        <v>24</v>
      </c>
      <c r="K180" s="1">
        <v>9</v>
      </c>
      <c r="L180" s="1">
        <v>17</v>
      </c>
    </row>
    <row r="181" spans="1:12" ht="15" customHeight="1" x14ac:dyDescent="0.2">
      <c r="A181" s="1">
        <v>1969</v>
      </c>
      <c r="B181" s="1">
        <v>5</v>
      </c>
      <c r="C181" s="1">
        <v>20</v>
      </c>
      <c r="E181" s="1">
        <v>6</v>
      </c>
      <c r="F181" s="1">
        <v>28</v>
      </c>
      <c r="H181" s="1">
        <v>9</v>
      </c>
      <c r="I181" s="1">
        <v>22</v>
      </c>
      <c r="K181" s="1">
        <v>10</v>
      </c>
      <c r="L181" s="1">
        <v>5</v>
      </c>
    </row>
    <row r="182" spans="1:12" ht="15" customHeight="1" x14ac:dyDescent="0.2">
      <c r="A182" s="1">
        <v>1970</v>
      </c>
      <c r="B182" s="1">
        <v>5</v>
      </c>
      <c r="C182" s="1">
        <v>5</v>
      </c>
      <c r="E182" s="1">
        <v>6</v>
      </c>
      <c r="F182" s="1">
        <v>29</v>
      </c>
      <c r="H182" s="1">
        <v>9</v>
      </c>
      <c r="I182" s="1">
        <v>15</v>
      </c>
      <c r="K182" s="1">
        <v>9</v>
      </c>
      <c r="L182" s="1">
        <v>15</v>
      </c>
    </row>
    <row r="183" spans="1:12" ht="15" customHeight="1" x14ac:dyDescent="0.2">
      <c r="A183" s="1">
        <v>1971</v>
      </c>
      <c r="B183" s="1">
        <v>6</v>
      </c>
      <c r="C183" s="1">
        <v>9</v>
      </c>
      <c r="E183" s="1">
        <v>6</v>
      </c>
      <c r="F183" s="1">
        <v>10</v>
      </c>
      <c r="H183" s="1">
        <v>9</v>
      </c>
      <c r="I183" s="1">
        <v>16</v>
      </c>
      <c r="K183" s="1">
        <v>9</v>
      </c>
      <c r="L183" s="1">
        <v>20</v>
      </c>
    </row>
    <row r="184" spans="1:12" ht="15" customHeight="1" x14ac:dyDescent="0.2">
      <c r="A184" s="1">
        <v>1972</v>
      </c>
      <c r="B184" s="1">
        <v>6</v>
      </c>
      <c r="C184" s="1">
        <v>27</v>
      </c>
      <c r="E184" s="1">
        <v>6</v>
      </c>
      <c r="F184" s="1">
        <v>28</v>
      </c>
      <c r="H184" s="1">
        <v>9</v>
      </c>
      <c r="I184" s="1">
        <v>20</v>
      </c>
      <c r="K184" s="1">
        <v>9</v>
      </c>
      <c r="L184" s="1">
        <v>21</v>
      </c>
    </row>
    <row r="185" spans="1:12" ht="15" customHeight="1" x14ac:dyDescent="0.2">
      <c r="A185" s="1">
        <v>1973</v>
      </c>
      <c r="B185" s="1">
        <v>6</v>
      </c>
      <c r="C185" s="1">
        <v>20</v>
      </c>
      <c r="E185" s="1">
        <v>6</v>
      </c>
      <c r="F185" s="1">
        <v>23</v>
      </c>
      <c r="H185" s="1">
        <v>9</v>
      </c>
      <c r="I185" s="1">
        <v>12</v>
      </c>
      <c r="K185" s="1">
        <v>9</v>
      </c>
      <c r="L185" s="1">
        <v>27</v>
      </c>
    </row>
    <row r="186" spans="1:12" ht="15" customHeight="1" x14ac:dyDescent="0.2">
      <c r="A186" s="1">
        <v>1974</v>
      </c>
      <c r="B186" s="1">
        <v>6</v>
      </c>
      <c r="C186" s="1">
        <v>10</v>
      </c>
      <c r="E186" s="1">
        <v>6</v>
      </c>
      <c r="F186" s="1">
        <v>12</v>
      </c>
      <c r="H186" s="1">
        <v>8</v>
      </c>
      <c r="I186" s="1">
        <v>26</v>
      </c>
      <c r="K186" s="1">
        <v>9</v>
      </c>
      <c r="L186" s="1">
        <v>17</v>
      </c>
    </row>
    <row r="187" spans="1:12" ht="15" customHeight="1" x14ac:dyDescent="0.2">
      <c r="A187" s="1">
        <v>1975</v>
      </c>
      <c r="B187" s="1">
        <v>6</v>
      </c>
      <c r="C187" s="1">
        <v>7</v>
      </c>
      <c r="E187" s="1">
        <v>6</v>
      </c>
      <c r="F187" s="1">
        <v>27</v>
      </c>
      <c r="H187" s="1">
        <v>9</v>
      </c>
      <c r="I187" s="1">
        <v>23</v>
      </c>
      <c r="K187" s="1">
        <v>10</v>
      </c>
      <c r="L187" s="1">
        <v>7</v>
      </c>
    </row>
    <row r="188" spans="1:12" ht="15" customHeight="1" x14ac:dyDescent="0.2">
      <c r="A188" s="1">
        <v>1976</v>
      </c>
      <c r="B188" s="1">
        <v>6</v>
      </c>
      <c r="C188" s="1">
        <v>25</v>
      </c>
      <c r="E188" s="1">
        <v>6</v>
      </c>
      <c r="F188" s="1">
        <v>26</v>
      </c>
      <c r="H188" s="1">
        <v>8</v>
      </c>
      <c r="I188" s="1">
        <v>6</v>
      </c>
      <c r="K188" s="1">
        <v>9</v>
      </c>
      <c r="L188" s="1">
        <v>20</v>
      </c>
    </row>
    <row r="189" spans="1:12" ht="15" customHeight="1" x14ac:dyDescent="0.2">
      <c r="A189" s="1">
        <v>1977</v>
      </c>
      <c r="B189" s="1">
        <v>6</v>
      </c>
      <c r="C189" s="1">
        <v>17</v>
      </c>
      <c r="E189" s="1">
        <v>6</v>
      </c>
      <c r="F189" s="1">
        <v>17</v>
      </c>
      <c r="H189" s="1">
        <v>9</v>
      </c>
      <c r="I189" s="1">
        <v>18</v>
      </c>
      <c r="K189" s="1">
        <v>9</v>
      </c>
      <c r="L189" s="1">
        <v>25</v>
      </c>
    </row>
    <row r="190" spans="1:12" ht="15" customHeight="1" x14ac:dyDescent="0.2">
      <c r="A190" s="1">
        <v>1978</v>
      </c>
      <c r="B190" s="1">
        <v>6</v>
      </c>
      <c r="C190" s="1">
        <v>7</v>
      </c>
      <c r="E190" s="1">
        <v>6</v>
      </c>
      <c r="F190" s="1">
        <v>18</v>
      </c>
      <c r="H190" s="1">
        <v>9</v>
      </c>
      <c r="I190" s="1">
        <v>12</v>
      </c>
      <c r="K190" s="1">
        <v>9</v>
      </c>
      <c r="L190" s="1">
        <v>21</v>
      </c>
    </row>
    <row r="191" spans="1:12" ht="15" customHeight="1" x14ac:dyDescent="0.2">
      <c r="A191" s="1">
        <v>1979</v>
      </c>
      <c r="B191" s="1">
        <v>6</v>
      </c>
      <c r="C191" s="1">
        <v>20</v>
      </c>
      <c r="E191" s="1">
        <v>6</v>
      </c>
      <c r="F191" s="1">
        <v>21</v>
      </c>
      <c r="H191" s="1">
        <v>8</v>
      </c>
      <c r="I191" s="1">
        <v>22</v>
      </c>
      <c r="K191" s="1">
        <v>10</v>
      </c>
      <c r="L191" s="1">
        <v>5</v>
      </c>
    </row>
    <row r="192" spans="1:12" ht="15" customHeight="1" x14ac:dyDescent="0.2">
      <c r="A192" s="1">
        <v>1980</v>
      </c>
      <c r="B192" s="1">
        <v>6</v>
      </c>
      <c r="C192" s="1">
        <v>8</v>
      </c>
      <c r="E192" s="1">
        <v>6</v>
      </c>
      <c r="F192" s="1">
        <v>16</v>
      </c>
      <c r="H192" s="1">
        <v>9</v>
      </c>
      <c r="I192" s="1">
        <v>2</v>
      </c>
      <c r="K192" s="1">
        <v>9</v>
      </c>
      <c r="L192" s="1">
        <v>21</v>
      </c>
    </row>
    <row r="193" spans="1:12" ht="15" customHeight="1" x14ac:dyDescent="0.2">
      <c r="A193" s="1">
        <v>1981</v>
      </c>
      <c r="B193" s="1">
        <v>6</v>
      </c>
      <c r="C193" s="1">
        <v>16</v>
      </c>
      <c r="E193" s="1">
        <v>6</v>
      </c>
      <c r="F193" s="1">
        <v>18</v>
      </c>
      <c r="H193" s="1">
        <v>9</v>
      </c>
      <c r="I193" s="1">
        <v>26</v>
      </c>
      <c r="K193" s="1">
        <v>10</v>
      </c>
      <c r="L193" s="1">
        <v>4</v>
      </c>
    </row>
    <row r="194" spans="1:12" ht="15" customHeight="1" x14ac:dyDescent="0.2">
      <c r="A194" s="1">
        <v>1982</v>
      </c>
      <c r="B194" s="1">
        <v>6</v>
      </c>
      <c r="C194" s="1">
        <v>13</v>
      </c>
      <c r="E194" s="1">
        <v>7</v>
      </c>
      <c r="F194" s="1">
        <v>2</v>
      </c>
      <c r="H194" s="1">
        <v>9</v>
      </c>
      <c r="I194" s="1">
        <v>15</v>
      </c>
      <c r="K194" s="1">
        <v>10</v>
      </c>
      <c r="L194" s="1">
        <v>1</v>
      </c>
    </row>
    <row r="195" spans="1:12" ht="15" customHeight="1" x14ac:dyDescent="0.2">
      <c r="A195" s="1">
        <v>1983</v>
      </c>
      <c r="B195" s="1">
        <v>6</v>
      </c>
      <c r="C195" s="1">
        <v>14</v>
      </c>
      <c r="E195" s="1">
        <v>7</v>
      </c>
      <c r="F195" s="1">
        <v>2</v>
      </c>
      <c r="H195" s="1">
        <v>10</v>
      </c>
      <c r="I195" s="1">
        <v>4</v>
      </c>
      <c r="K195" s="1">
        <v>10</v>
      </c>
      <c r="L195" s="1">
        <v>12</v>
      </c>
    </row>
    <row r="196" spans="1:12" ht="15" customHeight="1" x14ac:dyDescent="0.2">
      <c r="A196" s="1">
        <v>1984</v>
      </c>
      <c r="B196" s="1">
        <v>5</v>
      </c>
      <c r="C196" s="1">
        <v>18</v>
      </c>
      <c r="E196" s="1">
        <v>6</v>
      </c>
      <c r="F196" s="1">
        <v>21</v>
      </c>
      <c r="H196" s="1">
        <v>9</v>
      </c>
      <c r="I196" s="1">
        <v>6</v>
      </c>
      <c r="K196" s="1">
        <v>10</v>
      </c>
      <c r="L196" s="1">
        <v>7</v>
      </c>
    </row>
    <row r="197" spans="1:12" ht="15" customHeight="1" x14ac:dyDescent="0.2">
      <c r="A197" s="1">
        <v>1985</v>
      </c>
      <c r="B197" s="1">
        <v>6</v>
      </c>
      <c r="C197" s="1">
        <v>27</v>
      </c>
      <c r="E197" s="1">
        <v>6</v>
      </c>
      <c r="F197" s="1">
        <v>28</v>
      </c>
      <c r="H197" s="1">
        <v>9</v>
      </c>
      <c r="I197" s="1">
        <v>5</v>
      </c>
      <c r="K197" s="1">
        <v>9</v>
      </c>
      <c r="L197" s="1">
        <v>8</v>
      </c>
    </row>
    <row r="198" spans="1:12" ht="15" customHeight="1" x14ac:dyDescent="0.2">
      <c r="A198" s="1">
        <v>1986</v>
      </c>
      <c r="B198" s="1">
        <v>5</v>
      </c>
      <c r="C198" s="1">
        <v>31</v>
      </c>
      <c r="E198" s="1">
        <v>6</v>
      </c>
      <c r="F198" s="1">
        <v>10</v>
      </c>
      <c r="H198" s="1">
        <v>9</v>
      </c>
      <c r="I198" s="1">
        <v>11</v>
      </c>
      <c r="K198" s="1">
        <v>9</v>
      </c>
      <c r="L198" s="1">
        <v>17</v>
      </c>
    </row>
    <row r="199" spans="1:12" ht="15" customHeight="1" x14ac:dyDescent="0.2">
      <c r="A199" s="1">
        <v>1987</v>
      </c>
      <c r="B199" s="1">
        <v>7</v>
      </c>
      <c r="C199" s="1">
        <v>6</v>
      </c>
      <c r="E199" s="1">
        <v>7</v>
      </c>
      <c r="F199" s="1">
        <v>7</v>
      </c>
      <c r="H199" s="1">
        <v>8</v>
      </c>
      <c r="I199" s="1">
        <v>16</v>
      </c>
      <c r="K199" s="1">
        <v>9</v>
      </c>
      <c r="L199" s="1">
        <v>20</v>
      </c>
    </row>
    <row r="200" spans="1:12" ht="15" customHeight="1" x14ac:dyDescent="0.2">
      <c r="A200" s="1">
        <v>1988</v>
      </c>
      <c r="B200" s="1">
        <v>6</v>
      </c>
      <c r="C200" s="1">
        <v>13</v>
      </c>
      <c r="E200" s="1">
        <v>6</v>
      </c>
      <c r="F200" s="1">
        <v>14</v>
      </c>
      <c r="H200" s="1">
        <v>9</v>
      </c>
      <c r="I200" s="1">
        <v>4</v>
      </c>
      <c r="K200" s="1">
        <v>9</v>
      </c>
      <c r="L200" s="1">
        <v>19</v>
      </c>
    </row>
    <row r="201" spans="1:12" ht="15" customHeight="1" x14ac:dyDescent="0.2">
      <c r="A201" s="1">
        <v>1989</v>
      </c>
      <c r="B201" s="1">
        <v>6</v>
      </c>
      <c r="C201" s="1">
        <v>10</v>
      </c>
      <c r="E201" s="1">
        <v>6</v>
      </c>
      <c r="F201" s="1">
        <v>26</v>
      </c>
      <c r="H201" s="1">
        <v>8</v>
      </c>
      <c r="I201" s="1">
        <v>25</v>
      </c>
      <c r="K201" s="1">
        <v>9</v>
      </c>
      <c r="L201" s="1">
        <v>11</v>
      </c>
    </row>
    <row r="202" spans="1:12" ht="15" customHeight="1" x14ac:dyDescent="0.2">
      <c r="A202" s="1">
        <v>1990</v>
      </c>
      <c r="B202" s="1">
        <v>6</v>
      </c>
      <c r="C202" s="1">
        <v>17</v>
      </c>
      <c r="E202" s="1">
        <v>6</v>
      </c>
      <c r="F202" s="1">
        <v>22</v>
      </c>
      <c r="H202" s="1">
        <v>10</v>
      </c>
      <c r="I202" s="1">
        <v>3</v>
      </c>
      <c r="K202" s="1">
        <v>10</v>
      </c>
      <c r="L202" s="1">
        <v>4</v>
      </c>
    </row>
    <row r="203" spans="1:12" ht="15" customHeight="1" x14ac:dyDescent="0.2">
      <c r="A203" s="1">
        <v>1991</v>
      </c>
      <c r="B203" s="1">
        <v>6</v>
      </c>
      <c r="C203" s="1">
        <v>23</v>
      </c>
      <c r="E203" s="1">
        <v>6</v>
      </c>
      <c r="F203" s="1">
        <v>26</v>
      </c>
      <c r="H203" s="1">
        <v>9</v>
      </c>
      <c r="I203" s="1">
        <v>14</v>
      </c>
      <c r="K203" s="1">
        <v>9</v>
      </c>
      <c r="L203" s="1">
        <v>28</v>
      </c>
    </row>
    <row r="204" spans="1:12" ht="15" customHeight="1" x14ac:dyDescent="0.2">
      <c r="A204" s="1">
        <v>1992</v>
      </c>
      <c r="B204" s="1">
        <v>6</v>
      </c>
      <c r="C204" s="1">
        <v>17</v>
      </c>
      <c r="E204" s="1">
        <v>6</v>
      </c>
      <c r="F204" s="1">
        <v>27</v>
      </c>
      <c r="H204" s="1">
        <v>9</v>
      </c>
      <c r="I204" s="1">
        <v>5</v>
      </c>
      <c r="K204" s="1">
        <v>9</v>
      </c>
      <c r="L204" s="1">
        <v>30</v>
      </c>
    </row>
    <row r="205" spans="1:12" ht="15" customHeight="1" x14ac:dyDescent="0.2">
      <c r="A205" s="1">
        <v>1993</v>
      </c>
      <c r="B205" s="1">
        <v>6</v>
      </c>
      <c r="C205" s="1">
        <v>10</v>
      </c>
      <c r="E205" s="1">
        <v>6</v>
      </c>
      <c r="F205" s="1">
        <v>19</v>
      </c>
      <c r="H205" s="1">
        <v>9</v>
      </c>
      <c r="I205" s="1">
        <v>9</v>
      </c>
      <c r="K205" s="1">
        <v>9</v>
      </c>
      <c r="L205" s="1">
        <v>17</v>
      </c>
    </row>
    <row r="206" spans="1:12" ht="15" customHeight="1" x14ac:dyDescent="0.2">
      <c r="A206" s="1">
        <v>1994</v>
      </c>
      <c r="B206" s="1">
        <v>6</v>
      </c>
      <c r="C206" s="1">
        <v>8</v>
      </c>
      <c r="E206" s="1">
        <v>6</v>
      </c>
      <c r="F206" s="1">
        <v>17</v>
      </c>
      <c r="H206" s="1">
        <v>9</v>
      </c>
      <c r="I206" s="1">
        <v>15</v>
      </c>
      <c r="K206" s="1">
        <v>9</v>
      </c>
      <c r="L206" s="1">
        <v>23</v>
      </c>
    </row>
    <row r="207" spans="1:12" ht="15" customHeight="1" x14ac:dyDescent="0.2">
      <c r="A207" s="1">
        <v>1995</v>
      </c>
      <c r="B207" s="1">
        <v>6</v>
      </c>
      <c r="C207" s="1">
        <v>23</v>
      </c>
      <c r="E207" s="1">
        <v>7</v>
      </c>
      <c r="F207" s="1">
        <v>3</v>
      </c>
      <c r="H207" s="1">
        <v>9</v>
      </c>
      <c r="I207" s="1">
        <v>19</v>
      </c>
      <c r="K207" s="1">
        <v>9</v>
      </c>
      <c r="L207" s="1">
        <v>30</v>
      </c>
    </row>
    <row r="208" spans="1:12" ht="15" customHeight="1" x14ac:dyDescent="0.2">
      <c r="A208" s="1">
        <v>1996</v>
      </c>
      <c r="B208" s="1">
        <v>6</v>
      </c>
      <c r="C208" s="1">
        <v>1</v>
      </c>
      <c r="E208" s="1">
        <v>6</v>
      </c>
      <c r="F208" s="1">
        <v>23</v>
      </c>
      <c r="H208" s="1">
        <v>9</v>
      </c>
      <c r="I208" s="1">
        <v>21</v>
      </c>
      <c r="K208" s="1">
        <v>9</v>
      </c>
      <c r="L208" s="1">
        <v>28</v>
      </c>
    </row>
    <row r="209" spans="1:18" ht="15" customHeight="1" x14ac:dyDescent="0.2">
      <c r="A209" s="1">
        <v>1997</v>
      </c>
      <c r="B209" s="1">
        <v>5</v>
      </c>
      <c r="C209" s="1">
        <v>27</v>
      </c>
      <c r="E209" s="1">
        <v>7</v>
      </c>
      <c r="F209" s="1">
        <v>1</v>
      </c>
      <c r="H209" s="1">
        <v>10</v>
      </c>
      <c r="I209" s="1">
        <v>6</v>
      </c>
      <c r="K209" s="1">
        <v>10</v>
      </c>
      <c r="L209" s="1">
        <v>9</v>
      </c>
    </row>
    <row r="210" spans="1:18" ht="15" customHeight="1" x14ac:dyDescent="0.2">
      <c r="A210" s="1">
        <v>1998</v>
      </c>
      <c r="B210" s="1">
        <v>6</v>
      </c>
      <c r="C210" s="1">
        <v>9</v>
      </c>
      <c r="E210" s="1">
        <v>6</v>
      </c>
      <c r="F210" s="1">
        <v>22</v>
      </c>
      <c r="H210" s="1">
        <v>9</v>
      </c>
      <c r="I210" s="1">
        <v>24</v>
      </c>
      <c r="K210" s="1">
        <v>10</v>
      </c>
      <c r="L210" s="1">
        <v>2</v>
      </c>
    </row>
    <row r="211" spans="1:18" ht="15" customHeight="1" x14ac:dyDescent="0.2">
      <c r="A211" s="1">
        <v>1999</v>
      </c>
      <c r="B211" s="1">
        <v>6</v>
      </c>
      <c r="C211" s="1">
        <v>11</v>
      </c>
      <c r="E211" s="1">
        <v>6</v>
      </c>
      <c r="F211" s="1">
        <v>12</v>
      </c>
      <c r="H211" s="1">
        <v>9</v>
      </c>
      <c r="I211" s="1">
        <v>29</v>
      </c>
      <c r="K211" s="1">
        <v>9</v>
      </c>
      <c r="L211" s="1">
        <v>29</v>
      </c>
    </row>
    <row r="212" spans="1:18" ht="15" customHeight="1" x14ac:dyDescent="0.2">
      <c r="A212" s="1">
        <v>2000</v>
      </c>
      <c r="B212" s="1">
        <v>5</v>
      </c>
      <c r="C212" s="1">
        <v>26</v>
      </c>
      <c r="E212" s="1">
        <v>6</v>
      </c>
      <c r="F212" s="1">
        <v>12</v>
      </c>
      <c r="H212" s="1">
        <v>9</v>
      </c>
      <c r="I212" s="1">
        <v>1</v>
      </c>
      <c r="K212" s="1">
        <v>9</v>
      </c>
      <c r="L212" s="1">
        <v>7</v>
      </c>
    </row>
    <row r="213" spans="1:18" ht="15" customHeight="1" x14ac:dyDescent="0.2">
      <c r="A213" s="1">
        <v>2001</v>
      </c>
      <c r="B213" s="1">
        <v>6</v>
      </c>
      <c r="C213" s="1">
        <v>15</v>
      </c>
      <c r="E213" s="1">
        <v>6</v>
      </c>
      <c r="F213" s="1">
        <v>15</v>
      </c>
      <c r="H213" s="1">
        <v>9</v>
      </c>
      <c r="I213" s="1">
        <v>9</v>
      </c>
      <c r="K213" s="1">
        <v>9</v>
      </c>
      <c r="L213" s="1">
        <v>28</v>
      </c>
    </row>
    <row r="214" spans="1:18" ht="15" customHeight="1" x14ac:dyDescent="0.2">
      <c r="A214" s="1">
        <v>2002</v>
      </c>
      <c r="B214" s="1">
        <v>5</v>
      </c>
      <c r="C214" s="1">
        <v>29</v>
      </c>
      <c r="E214" s="1">
        <v>6</v>
      </c>
      <c r="F214" s="1">
        <v>20</v>
      </c>
      <c r="H214" s="1">
        <v>8</v>
      </c>
      <c r="I214" s="1">
        <v>24</v>
      </c>
      <c r="K214" s="1">
        <v>9</v>
      </c>
      <c r="L214" s="1">
        <v>20</v>
      </c>
    </row>
    <row r="215" spans="1:18" ht="15" customHeight="1" x14ac:dyDescent="0.2">
      <c r="A215" s="1">
        <v>2003</v>
      </c>
      <c r="B215" s="1">
        <v>6</v>
      </c>
      <c r="C215" s="1">
        <v>22</v>
      </c>
      <c r="E215" s="1">
        <v>6</v>
      </c>
      <c r="F215" s="1">
        <v>29</v>
      </c>
      <c r="H215" s="1">
        <v>9</v>
      </c>
      <c r="I215" s="1">
        <v>12</v>
      </c>
      <c r="K215" s="1">
        <v>9</v>
      </c>
      <c r="L215" s="1">
        <v>22</v>
      </c>
    </row>
    <row r="216" spans="1:18" ht="15" customHeight="1" x14ac:dyDescent="0.2">
      <c r="A216" s="1">
        <v>2004</v>
      </c>
      <c r="B216" s="1">
        <v>6</v>
      </c>
      <c r="C216" s="1">
        <v>12</v>
      </c>
      <c r="E216" s="1">
        <v>6</v>
      </c>
      <c r="F216" s="1">
        <v>30</v>
      </c>
      <c r="H216" s="1">
        <v>9</v>
      </c>
      <c r="I216" s="1">
        <v>6</v>
      </c>
      <c r="K216" s="1">
        <v>9</v>
      </c>
      <c r="L216" s="1">
        <v>21</v>
      </c>
    </row>
    <row r="217" spans="1:18" ht="15" customHeight="1" x14ac:dyDescent="0.2">
      <c r="A217" s="1">
        <v>2005</v>
      </c>
      <c r="B217" s="1">
        <v>6</v>
      </c>
      <c r="C217" s="1">
        <v>19</v>
      </c>
      <c r="E217" s="1">
        <v>6</v>
      </c>
      <c r="F217" s="1">
        <v>19</v>
      </c>
      <c r="H217" s="1">
        <v>9</v>
      </c>
      <c r="I217" s="1">
        <v>13</v>
      </c>
      <c r="K217" s="1">
        <v>9</v>
      </c>
      <c r="L217" s="1">
        <v>14</v>
      </c>
    </row>
    <row r="218" spans="1:18" ht="15" customHeight="1" x14ac:dyDescent="0.2">
      <c r="A218" s="1">
        <v>2006</v>
      </c>
      <c r="B218" s="1">
        <v>6</v>
      </c>
      <c r="C218" s="1">
        <v>1</v>
      </c>
      <c r="E218" s="1">
        <v>6</v>
      </c>
      <c r="F218" s="1">
        <v>17</v>
      </c>
      <c r="H218" s="1">
        <v>9</v>
      </c>
      <c r="I218" s="1">
        <v>16</v>
      </c>
      <c r="K218" s="1">
        <v>9</v>
      </c>
      <c r="L218" s="1">
        <v>17</v>
      </c>
    </row>
    <row r="219" spans="1:18" s="2" customFormat="1" ht="15" customHeight="1" x14ac:dyDescent="0.2">
      <c r="A219" s="1">
        <v>2007</v>
      </c>
      <c r="B219" s="1">
        <v>6</v>
      </c>
      <c r="C219" s="1">
        <v>12</v>
      </c>
      <c r="D219" s="1"/>
      <c r="E219" s="1">
        <v>6</v>
      </c>
      <c r="F219" s="1">
        <v>26</v>
      </c>
      <c r="G219" s="1"/>
      <c r="H219" s="1">
        <v>9</v>
      </c>
      <c r="I219" s="1">
        <v>19</v>
      </c>
      <c r="J219" s="1"/>
      <c r="K219" s="1">
        <v>9</v>
      </c>
      <c r="L219" s="1">
        <v>25</v>
      </c>
      <c r="O219" s="1"/>
      <c r="P219" s="1"/>
      <c r="Q219" s="1"/>
      <c r="R219" s="1"/>
    </row>
    <row r="220" spans="1:18" s="2" customFormat="1" ht="15" customHeight="1" x14ac:dyDescent="0.2">
      <c r="A220" s="1">
        <v>2008</v>
      </c>
      <c r="B220" s="1">
        <v>6</v>
      </c>
      <c r="C220" s="1">
        <v>9</v>
      </c>
      <c r="D220" s="1"/>
      <c r="E220" s="1">
        <v>6</v>
      </c>
      <c r="F220" s="1">
        <v>16</v>
      </c>
      <c r="G220" s="1"/>
      <c r="H220" s="1">
        <v>9</v>
      </c>
      <c r="I220" s="1">
        <v>14</v>
      </c>
      <c r="J220" s="1"/>
      <c r="K220" s="1">
        <v>9</v>
      </c>
      <c r="L220" s="1">
        <v>30</v>
      </c>
      <c r="O220" s="1"/>
      <c r="P220" s="1"/>
      <c r="Q220" s="1"/>
      <c r="R220" s="1"/>
    </row>
    <row r="221" spans="1:18" ht="15" customHeight="1" x14ac:dyDescent="0.2">
      <c r="A221" s="1">
        <v>2009</v>
      </c>
      <c r="B221" s="1">
        <v>5</v>
      </c>
      <c r="C221" s="1">
        <v>26</v>
      </c>
      <c r="E221" s="1">
        <v>6</v>
      </c>
      <c r="F221" s="1">
        <v>17</v>
      </c>
      <c r="H221" s="1">
        <v>9</v>
      </c>
      <c r="I221" s="1">
        <v>22</v>
      </c>
      <c r="K221" s="1">
        <v>9</v>
      </c>
      <c r="L221" s="1">
        <v>22</v>
      </c>
    </row>
    <row r="222" spans="1:18" ht="15" customHeight="1" x14ac:dyDescent="0.2">
      <c r="A222" s="1">
        <v>2010</v>
      </c>
      <c r="B222" s="1">
        <v>6</v>
      </c>
      <c r="C222" s="1">
        <v>13</v>
      </c>
      <c r="E222" s="1">
        <v>6</v>
      </c>
      <c r="F222" s="1">
        <v>23</v>
      </c>
      <c r="H222" s="1">
        <v>9</v>
      </c>
      <c r="I222" s="1">
        <v>11</v>
      </c>
      <c r="K222" s="1">
        <v>10</v>
      </c>
      <c r="L222" s="1">
        <v>9</v>
      </c>
      <c r="O222" s="10"/>
      <c r="P222" s="10"/>
      <c r="Q222" s="10"/>
      <c r="R222" s="10"/>
    </row>
    <row r="223" spans="1:18" ht="15" customHeight="1" x14ac:dyDescent="0.2">
      <c r="A223" s="1">
        <v>2011</v>
      </c>
      <c r="B223" s="1">
        <v>6</v>
      </c>
      <c r="C223" s="1">
        <v>12</v>
      </c>
      <c r="E223" s="1">
        <v>6</v>
      </c>
      <c r="F223" s="1">
        <v>21</v>
      </c>
      <c r="H223" s="1">
        <v>9</v>
      </c>
      <c r="I223" s="1">
        <v>23</v>
      </c>
      <c r="K223" s="1">
        <v>10</v>
      </c>
      <c r="L223" s="1">
        <v>8</v>
      </c>
    </row>
    <row r="224" spans="1:18" ht="15" customHeight="1" x14ac:dyDescent="0.2">
      <c r="A224" s="1">
        <v>2012</v>
      </c>
      <c r="B224" s="1">
        <v>5</v>
      </c>
      <c r="C224" s="1">
        <v>31</v>
      </c>
      <c r="E224" s="1">
        <v>6</v>
      </c>
      <c r="F224" s="1">
        <v>9</v>
      </c>
      <c r="H224" s="1">
        <v>9</v>
      </c>
      <c r="I224" s="1">
        <v>15</v>
      </c>
      <c r="K224" s="1">
        <v>9</v>
      </c>
      <c r="L224" s="1">
        <v>30</v>
      </c>
    </row>
    <row r="225" spans="1:12" ht="15" customHeight="1" x14ac:dyDescent="0.2">
      <c r="A225" s="1">
        <v>2013</v>
      </c>
      <c r="B225" s="1">
        <v>5</v>
      </c>
      <c r="C225" s="1">
        <v>28</v>
      </c>
      <c r="E225" s="1">
        <v>6</v>
      </c>
      <c r="F225" s="1">
        <v>23</v>
      </c>
      <c r="H225" s="1">
        <v>9</v>
      </c>
      <c r="I225" s="1">
        <v>23</v>
      </c>
      <c r="K225" s="1">
        <v>9</v>
      </c>
      <c r="L225" s="1">
        <v>28</v>
      </c>
    </row>
    <row r="226" spans="1:12" ht="15" customHeight="1" x14ac:dyDescent="0.2">
      <c r="A226" s="1">
        <v>2014</v>
      </c>
      <c r="B226" s="1">
        <v>6</v>
      </c>
      <c r="C226" s="1">
        <v>7</v>
      </c>
      <c r="E226" s="1">
        <v>6</v>
      </c>
      <c r="F226" s="1">
        <v>16</v>
      </c>
      <c r="H226" s="1">
        <v>9</v>
      </c>
      <c r="I226" s="1">
        <v>30</v>
      </c>
      <c r="K226" s="1">
        <v>9</v>
      </c>
      <c r="L226" s="1">
        <v>30</v>
      </c>
    </row>
    <row r="227" spans="1:12" ht="15" customHeight="1" x14ac:dyDescent="0.2">
      <c r="A227" s="1">
        <v>2015</v>
      </c>
      <c r="B227" s="1">
        <v>5</v>
      </c>
      <c r="C227" s="1">
        <v>26</v>
      </c>
      <c r="E227" s="1">
        <v>6</v>
      </c>
      <c r="F227" s="1">
        <v>2</v>
      </c>
      <c r="H227" s="1">
        <v>10</v>
      </c>
      <c r="I227" s="1">
        <v>23</v>
      </c>
      <c r="K227" s="1">
        <v>11</v>
      </c>
      <c r="L227" s="1">
        <v>3</v>
      </c>
    </row>
    <row r="228" spans="1:12" ht="15" customHeight="1" x14ac:dyDescent="0.2">
      <c r="A228" s="1">
        <v>2016</v>
      </c>
      <c r="B228" s="1">
        <v>6</v>
      </c>
      <c r="C228" s="1">
        <v>1</v>
      </c>
      <c r="E228" s="1">
        <v>6</v>
      </c>
      <c r="F228" s="1">
        <v>17</v>
      </c>
      <c r="H228" s="1">
        <v>9</v>
      </c>
      <c r="I228" s="1">
        <v>16</v>
      </c>
      <c r="K228" s="1">
        <v>9</v>
      </c>
      <c r="L228" s="1">
        <v>22</v>
      </c>
    </row>
    <row r="229" spans="1:12" ht="15" customHeight="1" x14ac:dyDescent="0.2">
      <c r="A229" s="1">
        <v>2017</v>
      </c>
      <c r="B229" s="1">
        <v>6</v>
      </c>
      <c r="C229" s="1">
        <v>14</v>
      </c>
      <c r="E229" s="1">
        <v>6</v>
      </c>
      <c r="F229" s="1">
        <v>15</v>
      </c>
      <c r="H229" s="1">
        <v>9</v>
      </c>
      <c r="I229" s="1">
        <v>23</v>
      </c>
      <c r="K229" s="1">
        <v>9</v>
      </c>
      <c r="L229" s="1">
        <v>23</v>
      </c>
    </row>
    <row r="230" spans="1:12" ht="15" customHeight="1" x14ac:dyDescent="0.2">
      <c r="A230" s="1">
        <v>2018</v>
      </c>
      <c r="B230" s="1">
        <v>5</v>
      </c>
      <c r="C230" s="1">
        <v>29</v>
      </c>
      <c r="E230" s="1">
        <v>5</v>
      </c>
      <c r="F230" s="1">
        <v>29</v>
      </c>
      <c r="H230" s="1">
        <v>10</v>
      </c>
      <c r="I230" s="1">
        <v>5</v>
      </c>
      <c r="K230" s="1">
        <v>10</v>
      </c>
      <c r="L230" s="1">
        <v>5</v>
      </c>
    </row>
    <row r="231" spans="1:12" ht="15" customHeight="1" x14ac:dyDescent="0.2">
      <c r="A231" s="1">
        <v>2019</v>
      </c>
      <c r="B231" s="1">
        <v>5</v>
      </c>
      <c r="C231" s="1">
        <v>29</v>
      </c>
      <c r="E231" s="1">
        <v>6</v>
      </c>
      <c r="F231" s="1">
        <v>24</v>
      </c>
      <c r="H231" s="1">
        <v>9</v>
      </c>
      <c r="I231" s="1">
        <v>21</v>
      </c>
      <c r="K231" s="1">
        <v>9</v>
      </c>
      <c r="L231" s="1">
        <v>21</v>
      </c>
    </row>
    <row r="232" spans="1:12" ht="15" customHeight="1" x14ac:dyDescent="0.2">
      <c r="A232" s="1">
        <v>2020</v>
      </c>
      <c r="B232" s="1">
        <v>5</v>
      </c>
      <c r="C232" s="1">
        <v>24</v>
      </c>
      <c r="E232" s="1">
        <v>6</v>
      </c>
      <c r="F232" s="1">
        <v>15</v>
      </c>
      <c r="H232" s="1">
        <v>9</v>
      </c>
      <c r="I232" s="1">
        <v>12</v>
      </c>
      <c r="K232" s="1">
        <v>10</v>
      </c>
      <c r="L232" s="1">
        <v>19</v>
      </c>
    </row>
    <row r="233" spans="1:12" ht="15" customHeight="1" x14ac:dyDescent="0.2">
      <c r="A233" s="1">
        <v>2021</v>
      </c>
      <c r="B233" s="1">
        <v>5</v>
      </c>
      <c r="C233" s="1">
        <v>24</v>
      </c>
      <c r="E233" s="1">
        <v>6</v>
      </c>
      <c r="F233" s="1">
        <v>9</v>
      </c>
      <c r="H233" s="1">
        <v>10</v>
      </c>
      <c r="I233" s="1">
        <v>3</v>
      </c>
      <c r="K233" s="1">
        <v>10</v>
      </c>
      <c r="L233" s="1">
        <v>11</v>
      </c>
    </row>
    <row r="234" spans="1:12" ht="15" customHeight="1" x14ac:dyDescent="0.2">
      <c r="A234" s="1">
        <v>2022</v>
      </c>
      <c r="B234" s="1">
        <v>5</v>
      </c>
      <c r="C234" s="1">
        <v>25</v>
      </c>
      <c r="E234" s="1">
        <v>6</v>
      </c>
      <c r="F234" s="1">
        <v>3</v>
      </c>
      <c r="H234" s="1">
        <v>10</v>
      </c>
      <c r="I234" s="1">
        <v>12</v>
      </c>
      <c r="K234" s="1">
        <v>10</v>
      </c>
      <c r="L234" s="1">
        <v>14</v>
      </c>
    </row>
    <row r="235" spans="1:12" ht="15" customHeight="1" x14ac:dyDescent="0.2">
      <c r="A235" s="1">
        <v>2023</v>
      </c>
      <c r="B235" s="1">
        <v>6</v>
      </c>
      <c r="C235" s="1">
        <v>13</v>
      </c>
      <c r="E235" s="1">
        <v>6</v>
      </c>
      <c r="F235" s="1">
        <v>24</v>
      </c>
      <c r="H235" s="1">
        <v>10</v>
      </c>
      <c r="I235" s="1">
        <v>27</v>
      </c>
      <c r="K235" s="1">
        <v>10</v>
      </c>
      <c r="L235" s="1">
        <v>27</v>
      </c>
    </row>
    <row r="236" spans="1:12" ht="15" customHeight="1" x14ac:dyDescent="0.2">
      <c r="A236" s="1">
        <v>2024</v>
      </c>
      <c r="B236" s="1">
        <v>5</v>
      </c>
      <c r="C236" s="1">
        <v>26</v>
      </c>
      <c r="E236" s="1">
        <v>5</v>
      </c>
      <c r="F236" s="1">
        <v>27</v>
      </c>
      <c r="H236" s="1">
        <v>10</v>
      </c>
      <c r="I236" s="1">
        <v>13</v>
      </c>
      <c r="K236" s="1">
        <v>10</v>
      </c>
      <c r="L236" s="1">
        <v>19</v>
      </c>
    </row>
    <row r="240" spans="1:12" ht="15" customHeight="1" x14ac:dyDescent="0.2">
      <c r="C240" s="19"/>
      <c r="D240" s="19"/>
      <c r="E240" s="19"/>
      <c r="F240" s="19"/>
    </row>
    <row r="262" spans="1:12" s="2" customFormat="1" ht="1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307" spans="1:12" s="2" customFormat="1" ht="1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s="2" customFormat="1" ht="15" customHeight="1" x14ac:dyDescent="0.2"/>
    <row r="309" spans="1:12" ht="1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50" spans="1:12" s="2" customFormat="1" ht="1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s="2" customFormat="1" ht="15" customHeight="1" x14ac:dyDescent="0.2"/>
    <row r="352" spans="1:12" ht="1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93" spans="1:12" s="2" customFormat="1" ht="1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438" spans="1:12" s="2" customFormat="1" ht="1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s="2" customFormat="1" ht="15" customHeight="1" x14ac:dyDescent="0.2"/>
    <row r="440" spans="1:12" ht="1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81" spans="1:12" s="2" customFormat="1" ht="1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s="2" customFormat="1" ht="15" customHeight="1" x14ac:dyDescent="0.2"/>
    <row r="483" spans="1:12" ht="1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524" spans="1:12" s="2" customFormat="1" ht="1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67" spans="1:12" s="2" customFormat="1" ht="1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s="2" customFormat="1" ht="15" customHeight="1" x14ac:dyDescent="0.2"/>
    <row r="569" spans="1:12" ht="1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610" spans="1:12" s="2" customFormat="1" ht="1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s="2" customFormat="1" ht="15" customHeight="1" x14ac:dyDescent="0.2"/>
    <row r="612" spans="1:12" ht="1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53" spans="1:12" s="2" customFormat="1" ht="1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99" spans="1:13" s="2" customFormat="1" ht="1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3" s="2" customFormat="1" ht="15" customHeight="1" x14ac:dyDescent="0.2">
      <c r="M700" s="7"/>
    </row>
    <row r="701" spans="1:13" ht="15" customHeight="1" x14ac:dyDescent="0.2">
      <c r="A701" s="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4"/>
    </row>
    <row r="702" spans="1:13" ht="15" customHeight="1" x14ac:dyDescent="0.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5" customHeight="1" x14ac:dyDescent="0.2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5" customHeight="1" x14ac:dyDescent="0.2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2:13" ht="15" customHeight="1" x14ac:dyDescent="0.2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2:13" ht="15" customHeight="1" x14ac:dyDescent="0.2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2:13" ht="15" customHeight="1" x14ac:dyDescent="0.2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2:13" ht="15" customHeight="1" x14ac:dyDescent="0.2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2:13" ht="15" customHeight="1" x14ac:dyDescent="0.2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2:13" ht="15" customHeight="1" x14ac:dyDescent="0.2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2:13" ht="15" customHeight="1" x14ac:dyDescent="0.2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2:13" ht="15" customHeight="1" x14ac:dyDescent="0.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2:13" ht="15" customHeight="1" x14ac:dyDescent="0.2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2:13" ht="15" customHeight="1" x14ac:dyDescent="0.2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2:13" ht="15" customHeight="1" x14ac:dyDescent="0.2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2:13" ht="15" customHeight="1" x14ac:dyDescent="0.2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2:13" ht="15" customHeight="1" x14ac:dyDescent="0.2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2:13" ht="15" customHeight="1" x14ac:dyDescent="0.2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2:13" ht="15" customHeight="1" x14ac:dyDescent="0.2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2:13" ht="15" customHeight="1" x14ac:dyDescent="0.2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2:13" ht="15" customHeight="1" x14ac:dyDescent="0.2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2:13" ht="15" customHeight="1" x14ac:dyDescent="0.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2:13" ht="15" customHeight="1" x14ac:dyDescent="0.2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2:13" ht="15" customHeight="1" x14ac:dyDescent="0.2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2:13" ht="15" customHeight="1" x14ac:dyDescent="0.2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2:13" ht="15" customHeight="1" x14ac:dyDescent="0.2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2:13" ht="15" customHeight="1" x14ac:dyDescent="0.2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2:13" ht="15" customHeight="1" x14ac:dyDescent="0.2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2:13" ht="15" customHeight="1" x14ac:dyDescent="0.2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2:13" ht="15" customHeight="1" x14ac:dyDescent="0.2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2:13" ht="15" customHeight="1" x14ac:dyDescent="0.2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2:13" ht="15" customHeight="1" x14ac:dyDescent="0.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2:13" ht="15" customHeight="1" x14ac:dyDescent="0.2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2:13" ht="15" customHeight="1" x14ac:dyDescent="0.2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2:13" ht="15" customHeight="1" x14ac:dyDescent="0.2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2:13" ht="15" customHeight="1" x14ac:dyDescent="0.2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5" customHeight="1" x14ac:dyDescent="0.2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5" customHeight="1" x14ac:dyDescent="0.2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5" customHeight="1" x14ac:dyDescent="0.2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5" customHeight="1" x14ac:dyDescent="0.2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5" customHeight="1" x14ac:dyDescent="0.2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s="2" customFormat="1" ht="15" customHeight="1" x14ac:dyDescent="0.2">
      <c r="A742" s="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3" s="2" customFormat="1" ht="15" customHeight="1" x14ac:dyDescent="0.2">
      <c r="M743" s="7"/>
    </row>
    <row r="744" spans="1:13" ht="15" customHeight="1" x14ac:dyDescent="0.2">
      <c r="A744" s="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4"/>
    </row>
    <row r="745" spans="1:13" ht="15" customHeight="1" x14ac:dyDescent="0.2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5" customHeight="1" x14ac:dyDescent="0.2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5" customHeight="1" x14ac:dyDescent="0.2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5" customHeight="1" x14ac:dyDescent="0.2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5" customHeight="1" x14ac:dyDescent="0.2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5" customHeight="1" x14ac:dyDescent="0.2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5" customHeight="1" x14ac:dyDescent="0.2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5" customHeight="1" x14ac:dyDescent="0.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2:13" ht="15" customHeight="1" x14ac:dyDescent="0.2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2:13" ht="15" customHeight="1" x14ac:dyDescent="0.2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2:13" ht="15" customHeight="1" x14ac:dyDescent="0.2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2:13" ht="15" customHeight="1" x14ac:dyDescent="0.2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2:13" ht="15" customHeight="1" x14ac:dyDescent="0.2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2:13" ht="15" customHeight="1" x14ac:dyDescent="0.2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2:13" ht="15" customHeight="1" x14ac:dyDescent="0.2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2:13" ht="15" customHeight="1" x14ac:dyDescent="0.2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2:13" ht="15" customHeight="1" x14ac:dyDescent="0.2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2:13" ht="15" customHeight="1" x14ac:dyDescent="0.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2:13" ht="15" customHeight="1" x14ac:dyDescent="0.2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2:13" ht="15" customHeight="1" x14ac:dyDescent="0.2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2:13" ht="15" customHeight="1" x14ac:dyDescent="0.2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2:13" ht="15" customHeight="1" x14ac:dyDescent="0.2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2:13" ht="15" customHeight="1" x14ac:dyDescent="0.2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2:13" ht="15" customHeight="1" x14ac:dyDescent="0.2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2:13" ht="15" customHeight="1" x14ac:dyDescent="0.2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2:13" ht="15" customHeight="1" x14ac:dyDescent="0.2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2:13" ht="15" customHeight="1" x14ac:dyDescent="0.2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2:13" ht="15" customHeight="1" x14ac:dyDescent="0.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2:13" ht="15" customHeight="1" x14ac:dyDescent="0.2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2:13" ht="15" customHeight="1" x14ac:dyDescent="0.2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2:13" ht="15" customHeight="1" x14ac:dyDescent="0.2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2:13" ht="15" customHeight="1" x14ac:dyDescent="0.2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2:13" ht="15" customHeight="1" x14ac:dyDescent="0.2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2:13" ht="15" customHeight="1" x14ac:dyDescent="0.2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2:13" ht="15" customHeight="1" x14ac:dyDescent="0.2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2:13" ht="15" customHeight="1" x14ac:dyDescent="0.2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2:13" ht="15" customHeight="1" x14ac:dyDescent="0.2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2:13" ht="15" customHeight="1" x14ac:dyDescent="0.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2:13" ht="15" customHeight="1" x14ac:dyDescent="0.2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2:13" ht="15" customHeight="1" x14ac:dyDescent="0.2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2" s="2" customFormat="1" ht="15" customHeight="1" x14ac:dyDescent="0.2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828" spans="1:12" s="2" customFormat="1" ht="1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s="2" customFormat="1" ht="15" customHeight="1" x14ac:dyDescent="0.2"/>
    <row r="830" spans="1:12" ht="1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71" spans="1:12" s="2" customFormat="1" ht="1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s="2" customFormat="1" ht="15" customHeight="1" x14ac:dyDescent="0.2"/>
    <row r="873" spans="1:12" ht="1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914" spans="1:12" s="2" customFormat="1" ht="1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57" spans="1:12" s="2" customFormat="1" ht="1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s="2" customFormat="1" ht="15" customHeight="1" x14ac:dyDescent="0.2"/>
    <row r="959" spans="1:12" ht="1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1000" spans="1:12" s="2" customFormat="1" ht="1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s="2" customFormat="1" ht="15" customHeight="1" x14ac:dyDescent="0.2"/>
    <row r="1002" spans="1:12" ht="1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43" spans="1:12" s="2" customFormat="1" ht="1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ht="15" customHeight="1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</row>
    <row r="1086" spans="1:12" s="2" customFormat="1" ht="1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s="2" customFormat="1" ht="15" customHeight="1" x14ac:dyDescent="0.2"/>
    <row r="1088" spans="1:12" ht="15" customHeight="1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</row>
    <row r="1129" spans="1:12" s="2" customFormat="1" ht="1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 s="2" customFormat="1" ht="15" customHeight="1" x14ac:dyDescent="0.2"/>
    <row r="1131" spans="1:12" ht="15" customHeight="1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</row>
    <row r="1172" spans="1:12" s="2" customFormat="1" ht="1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 ht="15" customHeight="1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</row>
  </sheetData>
  <phoneticPr fontId="0" type="noConversion"/>
  <printOptions horizontalCentered="1" gridLines="1"/>
  <pageMargins left="0.75" right="0.75" top="1" bottom="0.75" header="0.5" footer="0.25"/>
  <pageSetup scale="95" fitToHeight="2" orientation="portrait" r:id="rId1"/>
  <headerFooter alignWithMargins="0">
    <oddFooter>&amp;R&amp;9luna</oddFooter>
  </headerFooter>
  <rowBreaks count="3" manualBreakCount="3">
    <brk id="59" max="12" man="1"/>
    <brk id="117" max="12" man="1"/>
    <brk id="175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4"/>
  <sheetViews>
    <sheetView zoomScaleNormal="100" workbookViewId="0">
      <selection sqref="A1:XFD1"/>
    </sheetView>
  </sheetViews>
  <sheetFormatPr defaultColWidth="8.88671875" defaultRowHeight="15" customHeight="1" x14ac:dyDescent="0.2"/>
  <cols>
    <col min="1" max="1" width="7.88671875" style="1" customWidth="1"/>
    <col min="2" max="13" width="6" style="1" customWidth="1"/>
    <col min="14" max="16384" width="8.88671875" style="1"/>
  </cols>
  <sheetData>
    <row r="1" spans="1:13" ht="15" customHeight="1" x14ac:dyDescent="0.2">
      <c r="A1" s="2" t="s">
        <v>3</v>
      </c>
      <c r="B1" s="2"/>
      <c r="C1" s="2"/>
      <c r="D1" s="2" t="s">
        <v>1</v>
      </c>
      <c r="E1" s="2"/>
      <c r="F1" s="2"/>
      <c r="G1" s="13"/>
      <c r="H1" s="2"/>
      <c r="I1" s="2"/>
      <c r="J1" s="2"/>
      <c r="K1" s="13"/>
      <c r="L1" s="2"/>
      <c r="M1" s="2"/>
    </row>
    <row r="2" spans="1:13" ht="15" customHeight="1" x14ac:dyDescent="0.2">
      <c r="A2" s="2"/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</row>
    <row r="3" spans="1:13" ht="15" customHeight="1" x14ac:dyDescent="0.2">
      <c r="A3" s="1">
        <v>1968</v>
      </c>
      <c r="B3" s="4">
        <v>0.8</v>
      </c>
      <c r="C3" s="4">
        <v>0.75</v>
      </c>
      <c r="D3" s="4">
        <v>0.75</v>
      </c>
      <c r="E3" s="4">
        <v>0</v>
      </c>
      <c r="F3" s="4">
        <v>0</v>
      </c>
      <c r="G3" s="4">
        <v>0</v>
      </c>
      <c r="H3" s="4">
        <v>2.29</v>
      </c>
      <c r="I3" s="4">
        <v>1.97</v>
      </c>
      <c r="J3" s="4">
        <v>0</v>
      </c>
      <c r="K3" s="4">
        <v>1.06</v>
      </c>
      <c r="L3" s="4">
        <v>0.7</v>
      </c>
      <c r="M3" s="4">
        <v>0.92</v>
      </c>
    </row>
    <row r="4" spans="1:13" ht="15" customHeight="1" x14ac:dyDescent="0.2">
      <c r="A4" s="1">
        <v>1969</v>
      </c>
      <c r="B4" s="4">
        <v>0.03</v>
      </c>
      <c r="C4" s="4">
        <v>0.15</v>
      </c>
      <c r="D4" s="4">
        <v>0.25</v>
      </c>
      <c r="E4" s="4">
        <v>0.5</v>
      </c>
      <c r="F4" s="4">
        <v>0.73</v>
      </c>
      <c r="G4" s="4">
        <v>0.14000000000000001</v>
      </c>
      <c r="H4" s="4">
        <v>2.37</v>
      </c>
      <c r="I4" s="4">
        <v>4.6100000000000003</v>
      </c>
      <c r="J4" s="4">
        <v>1.47</v>
      </c>
      <c r="K4" s="4">
        <v>1.38</v>
      </c>
      <c r="L4" s="4">
        <v>0.01</v>
      </c>
      <c r="M4" s="4">
        <v>1.35</v>
      </c>
    </row>
    <row r="5" spans="1:13" ht="15" customHeight="1" x14ac:dyDescent="0.2">
      <c r="A5" s="1">
        <v>1970</v>
      </c>
      <c r="B5" s="4">
        <v>0</v>
      </c>
      <c r="C5" s="4">
        <v>0.55000000000000004</v>
      </c>
      <c r="D5" s="4">
        <v>1</v>
      </c>
      <c r="E5" s="4">
        <v>0.15</v>
      </c>
      <c r="F5" s="4">
        <v>0.13</v>
      </c>
      <c r="G5" s="4">
        <v>0.15</v>
      </c>
      <c r="H5" s="4">
        <v>1.31</v>
      </c>
      <c r="I5" s="4">
        <v>1.57</v>
      </c>
      <c r="J5" s="4">
        <v>0.38</v>
      </c>
      <c r="K5" s="4">
        <v>2.5299999999999998</v>
      </c>
      <c r="L5" s="4">
        <v>0</v>
      </c>
      <c r="M5" s="4">
        <v>0.25</v>
      </c>
    </row>
    <row r="6" spans="1:13" ht="15" customHeight="1" x14ac:dyDescent="0.2">
      <c r="A6" s="1">
        <v>1971</v>
      </c>
      <c r="B6" s="4">
        <v>0.3</v>
      </c>
      <c r="C6" s="4">
        <v>0.1</v>
      </c>
      <c r="D6" s="4">
        <v>0.13</v>
      </c>
      <c r="E6" s="4">
        <v>0.43</v>
      </c>
      <c r="F6" s="4">
        <v>0</v>
      </c>
      <c r="G6" s="4">
        <v>0</v>
      </c>
      <c r="H6" s="4">
        <v>1.84</v>
      </c>
      <c r="I6" s="4">
        <v>2.81</v>
      </c>
      <c r="J6" s="4">
        <v>2.72</v>
      </c>
      <c r="K6" s="4">
        <v>5.85</v>
      </c>
      <c r="L6" s="4">
        <v>1.08</v>
      </c>
      <c r="M6" s="4">
        <v>2.5299999999999998</v>
      </c>
    </row>
    <row r="7" spans="1:13" ht="15" customHeight="1" x14ac:dyDescent="0.2">
      <c r="A7" s="1">
        <v>1972</v>
      </c>
      <c r="B7" s="4">
        <v>0.02</v>
      </c>
      <c r="C7" s="4">
        <v>0</v>
      </c>
      <c r="D7" s="4">
        <v>0</v>
      </c>
      <c r="E7" s="4">
        <v>0</v>
      </c>
      <c r="F7" s="4">
        <v>0.45</v>
      </c>
      <c r="G7" s="4">
        <v>2.96</v>
      </c>
      <c r="H7" s="4">
        <v>1.99</v>
      </c>
      <c r="I7" s="4">
        <v>3.07</v>
      </c>
      <c r="J7" s="4">
        <v>2.5</v>
      </c>
      <c r="K7" s="4">
        <v>4.4400000000000004</v>
      </c>
      <c r="L7" s="4">
        <v>0.53</v>
      </c>
      <c r="M7" s="4">
        <v>1.03</v>
      </c>
    </row>
    <row r="8" spans="1:13" ht="15" customHeight="1" x14ac:dyDescent="0.2">
      <c r="A8" s="1">
        <v>1973</v>
      </c>
      <c r="B8" s="4">
        <v>1.57</v>
      </c>
      <c r="C8" s="4">
        <v>1.91</v>
      </c>
      <c r="D8" s="4">
        <v>1.41</v>
      </c>
      <c r="E8" s="4">
        <v>0.44</v>
      </c>
      <c r="F8" s="4">
        <v>1.42</v>
      </c>
      <c r="G8" s="4">
        <v>0.56999999999999995</v>
      </c>
      <c r="H8" s="4">
        <v>3.3</v>
      </c>
      <c r="I8" s="4">
        <v>1.59</v>
      </c>
      <c r="J8" s="4">
        <v>0.36</v>
      </c>
      <c r="K8" s="4">
        <v>0.05</v>
      </c>
      <c r="L8" s="4">
        <v>0.35</v>
      </c>
      <c r="M8" s="4">
        <v>0</v>
      </c>
    </row>
    <row r="9" spans="1:13" ht="15" customHeight="1" x14ac:dyDescent="0.2">
      <c r="A9" s="1">
        <v>1974</v>
      </c>
      <c r="B9" s="4">
        <v>0.35</v>
      </c>
      <c r="C9" s="4">
        <v>0.05</v>
      </c>
      <c r="D9" s="4">
        <v>0.66</v>
      </c>
      <c r="E9" s="4">
        <v>0.01</v>
      </c>
      <c r="F9" s="4">
        <v>0</v>
      </c>
      <c r="G9" s="4">
        <v>0</v>
      </c>
      <c r="H9" s="4">
        <v>5.28</v>
      </c>
      <c r="I9" s="4">
        <v>1.19</v>
      </c>
      <c r="J9" s="4">
        <v>1.72</v>
      </c>
      <c r="K9" s="4">
        <v>3.16</v>
      </c>
      <c r="L9" s="4">
        <v>0.23</v>
      </c>
      <c r="M9" s="4">
        <v>0.19</v>
      </c>
    </row>
    <row r="10" spans="1:13" ht="15" customHeight="1" x14ac:dyDescent="0.2">
      <c r="A10" s="1">
        <v>1975</v>
      </c>
      <c r="B10" s="4">
        <v>1.78</v>
      </c>
      <c r="C10" s="4">
        <v>0.47</v>
      </c>
      <c r="D10" s="4">
        <v>1.3</v>
      </c>
      <c r="E10" s="4">
        <v>0.19</v>
      </c>
      <c r="F10" s="4">
        <v>0.18</v>
      </c>
      <c r="G10" s="4">
        <v>0.03</v>
      </c>
      <c r="H10" s="4">
        <v>2.76</v>
      </c>
      <c r="I10" s="4">
        <v>2.15</v>
      </c>
      <c r="J10" s="4">
        <v>5.93</v>
      </c>
      <c r="K10" s="4">
        <v>0.87</v>
      </c>
      <c r="L10" s="4">
        <v>0.95</v>
      </c>
      <c r="M10" s="4">
        <v>0.71</v>
      </c>
    </row>
    <row r="11" spans="1:13" ht="15" customHeight="1" x14ac:dyDescent="0.2">
      <c r="A11" s="1">
        <v>1976</v>
      </c>
      <c r="B11" s="4">
        <v>0.11</v>
      </c>
      <c r="C11" s="4">
        <v>3.1</v>
      </c>
      <c r="D11" s="4">
        <v>0.5</v>
      </c>
      <c r="E11" s="4">
        <v>0.11</v>
      </c>
      <c r="F11" s="4">
        <v>0.27</v>
      </c>
      <c r="G11" s="4">
        <v>0.28999999999999998</v>
      </c>
      <c r="H11" s="4">
        <v>2.72</v>
      </c>
      <c r="I11" s="4">
        <v>2.35</v>
      </c>
      <c r="J11" s="4">
        <v>1.25</v>
      </c>
      <c r="K11" s="4">
        <v>1.5</v>
      </c>
      <c r="L11" s="4">
        <v>0.54</v>
      </c>
      <c r="M11" s="4">
        <v>0.03</v>
      </c>
    </row>
    <row r="12" spans="1:13" ht="15" customHeight="1" x14ac:dyDescent="0.2">
      <c r="A12" s="1">
        <v>1977</v>
      </c>
      <c r="B12" s="4">
        <v>1.08</v>
      </c>
      <c r="C12" s="4">
        <v>0.83</v>
      </c>
      <c r="D12" s="4">
        <v>1.1399999999999999</v>
      </c>
      <c r="E12" s="4">
        <v>0.16</v>
      </c>
      <c r="F12" s="4">
        <v>0.77</v>
      </c>
      <c r="G12" s="4">
        <v>1.28</v>
      </c>
      <c r="H12" s="4">
        <v>3.99</v>
      </c>
      <c r="I12" s="4">
        <v>4.4000000000000004</v>
      </c>
      <c r="J12" s="4">
        <v>3.61</v>
      </c>
      <c r="K12" s="4">
        <v>2.13</v>
      </c>
      <c r="L12" s="4">
        <v>0.52</v>
      </c>
      <c r="M12" s="4">
        <v>0.62</v>
      </c>
    </row>
    <row r="13" spans="1:13" ht="15" customHeight="1" x14ac:dyDescent="0.2">
      <c r="A13" s="1">
        <v>1978</v>
      </c>
      <c r="B13" s="4">
        <v>0.56999999999999995</v>
      </c>
      <c r="C13" s="4">
        <v>0.86</v>
      </c>
      <c r="D13" s="4">
        <v>0.7</v>
      </c>
      <c r="E13" s="4">
        <v>0.19</v>
      </c>
      <c r="F13" s="4">
        <v>0.65</v>
      </c>
      <c r="G13" s="4">
        <v>0.48</v>
      </c>
      <c r="H13" s="4">
        <v>2.74</v>
      </c>
      <c r="I13" s="4">
        <v>2.87</v>
      </c>
      <c r="J13" s="4">
        <v>2.2400000000000002</v>
      </c>
      <c r="K13" s="4">
        <v>2.15</v>
      </c>
      <c r="L13" s="4">
        <v>0.43</v>
      </c>
      <c r="M13" s="4">
        <v>0.69</v>
      </c>
    </row>
    <row r="14" spans="1:13" ht="15" customHeight="1" x14ac:dyDescent="0.2">
      <c r="A14" s="1">
        <v>1979</v>
      </c>
      <c r="B14" s="4">
        <v>3.1</v>
      </c>
      <c r="C14" s="4">
        <v>0.82</v>
      </c>
      <c r="D14" s="4">
        <v>0.31</v>
      </c>
      <c r="E14" s="4">
        <v>0.6</v>
      </c>
      <c r="F14" s="4">
        <v>1.92</v>
      </c>
      <c r="G14" s="4">
        <v>2.11</v>
      </c>
      <c r="H14" s="4">
        <v>0.85</v>
      </c>
      <c r="I14" s="4">
        <v>1.54</v>
      </c>
      <c r="J14" s="4">
        <v>2.2400000000000002</v>
      </c>
      <c r="K14" s="4">
        <v>2.15</v>
      </c>
      <c r="L14" s="4">
        <v>0.43</v>
      </c>
      <c r="M14" s="4">
        <v>0.95</v>
      </c>
    </row>
    <row r="15" spans="1:13" ht="15" customHeight="1" x14ac:dyDescent="0.2">
      <c r="A15" s="1">
        <v>1980</v>
      </c>
      <c r="B15" s="4">
        <v>1.19</v>
      </c>
      <c r="C15" s="4">
        <v>1.68</v>
      </c>
      <c r="D15" s="4">
        <v>0.56000000000000005</v>
      </c>
      <c r="E15" s="4">
        <v>0.41</v>
      </c>
      <c r="F15" s="4">
        <v>0.25</v>
      </c>
      <c r="G15" s="4">
        <v>0.05</v>
      </c>
      <c r="H15" s="4">
        <v>1.17</v>
      </c>
      <c r="I15" s="4">
        <v>3.2</v>
      </c>
      <c r="J15" s="4">
        <v>1.68</v>
      </c>
      <c r="K15" s="4">
        <v>0.44</v>
      </c>
      <c r="L15" s="4">
        <v>0.2</v>
      </c>
      <c r="M15" s="4">
        <v>0.19</v>
      </c>
    </row>
    <row r="16" spans="1:13" ht="15" customHeight="1" x14ac:dyDescent="0.2">
      <c r="A16" s="1">
        <v>1981</v>
      </c>
      <c r="B16" s="4">
        <v>0.72</v>
      </c>
      <c r="C16" s="4">
        <v>0.13</v>
      </c>
      <c r="D16" s="4">
        <v>1.42</v>
      </c>
      <c r="E16" s="4">
        <v>0.81</v>
      </c>
      <c r="F16" s="4">
        <v>0.51</v>
      </c>
      <c r="G16" s="4">
        <v>0.52</v>
      </c>
      <c r="H16" s="4">
        <v>4.5599999999999996</v>
      </c>
      <c r="I16" s="4">
        <v>1.64</v>
      </c>
      <c r="J16" s="4">
        <v>0.8</v>
      </c>
      <c r="K16" s="4">
        <v>2.2000000000000002</v>
      </c>
      <c r="L16" s="4">
        <v>0.88</v>
      </c>
      <c r="M16" s="4">
        <v>0</v>
      </c>
    </row>
    <row r="17" spans="1:13" ht="15" customHeight="1" x14ac:dyDescent="0.2">
      <c r="A17" s="1">
        <v>1982</v>
      </c>
      <c r="B17" s="4">
        <v>1.1100000000000001</v>
      </c>
      <c r="C17" s="4">
        <v>1.31</v>
      </c>
      <c r="D17" s="4">
        <v>2.1800000000000002</v>
      </c>
      <c r="E17" s="4">
        <v>0.03</v>
      </c>
      <c r="F17" s="4">
        <v>1.05</v>
      </c>
      <c r="G17" s="4">
        <v>0</v>
      </c>
      <c r="H17" s="4">
        <v>0.7</v>
      </c>
      <c r="I17" s="4">
        <v>3.9</v>
      </c>
      <c r="J17" s="4">
        <v>3.92</v>
      </c>
      <c r="K17" s="4">
        <v>0.01</v>
      </c>
      <c r="L17" s="4">
        <v>1.74</v>
      </c>
      <c r="M17" s="4">
        <v>2.2999999999999998</v>
      </c>
    </row>
    <row r="18" spans="1:13" ht="15" customHeight="1" x14ac:dyDescent="0.2">
      <c r="A18" s="1">
        <v>1983</v>
      </c>
      <c r="B18" s="4">
        <v>0.97</v>
      </c>
      <c r="C18" s="4">
        <v>1.37</v>
      </c>
      <c r="D18" s="4">
        <v>1.99</v>
      </c>
      <c r="E18" s="4">
        <v>0.45</v>
      </c>
      <c r="F18" s="4">
        <v>0.25</v>
      </c>
      <c r="G18" s="4">
        <v>1.06</v>
      </c>
      <c r="H18" s="4">
        <v>1.03</v>
      </c>
      <c r="I18" s="4">
        <v>1.74</v>
      </c>
      <c r="J18" s="4">
        <v>2.5499999999999998</v>
      </c>
      <c r="K18" s="4">
        <v>2.69</v>
      </c>
      <c r="L18" s="4">
        <v>2.74</v>
      </c>
      <c r="M18" s="4">
        <v>0.56999999999999995</v>
      </c>
    </row>
    <row r="19" spans="1:13" ht="15" customHeight="1" x14ac:dyDescent="0.2">
      <c r="A19" s="1">
        <v>1984</v>
      </c>
      <c r="B19" s="4">
        <v>0.32</v>
      </c>
      <c r="C19" s="4">
        <v>0.04</v>
      </c>
      <c r="D19" s="4">
        <v>0.96</v>
      </c>
      <c r="E19" s="4">
        <v>0.35</v>
      </c>
      <c r="F19" s="4">
        <v>0.84</v>
      </c>
      <c r="G19" s="4">
        <v>0.37</v>
      </c>
      <c r="H19" s="4">
        <v>5.37</v>
      </c>
      <c r="I19" s="4">
        <v>5.57</v>
      </c>
      <c r="J19" s="4">
        <v>1.41</v>
      </c>
      <c r="K19" s="4">
        <v>1.71</v>
      </c>
      <c r="L19" s="4">
        <v>0.19</v>
      </c>
      <c r="M19" s="4">
        <v>4.76</v>
      </c>
    </row>
    <row r="20" spans="1:13" ht="15" customHeight="1" x14ac:dyDescent="0.2">
      <c r="A20" s="1">
        <v>1985</v>
      </c>
      <c r="B20" s="4">
        <v>1.64</v>
      </c>
      <c r="C20" s="4">
        <v>0.33</v>
      </c>
      <c r="D20" s="4">
        <v>1.08</v>
      </c>
      <c r="E20" s="4">
        <v>1.69</v>
      </c>
      <c r="F20" s="4">
        <v>0.18</v>
      </c>
      <c r="G20" s="4">
        <v>0.96</v>
      </c>
      <c r="H20" s="4">
        <v>1.86</v>
      </c>
      <c r="I20" s="4">
        <v>3.26</v>
      </c>
      <c r="J20" s="4">
        <v>1.82</v>
      </c>
      <c r="K20" s="4">
        <v>4.67</v>
      </c>
      <c r="L20" s="4">
        <v>1.39</v>
      </c>
      <c r="M20" s="4">
        <v>0.42</v>
      </c>
    </row>
    <row r="21" spans="1:13" ht="15" customHeight="1" x14ac:dyDescent="0.2">
      <c r="A21" s="1">
        <v>1986</v>
      </c>
      <c r="B21" s="4">
        <v>0.11</v>
      </c>
      <c r="C21" s="4">
        <v>1.93</v>
      </c>
      <c r="D21" s="4">
        <v>0.54</v>
      </c>
      <c r="E21" s="4">
        <v>0.1</v>
      </c>
      <c r="F21" s="4">
        <v>0.66</v>
      </c>
      <c r="G21" s="4">
        <v>2.42</v>
      </c>
      <c r="H21" s="4">
        <v>4.3899999999999997</v>
      </c>
      <c r="I21" s="4">
        <v>3.35</v>
      </c>
      <c r="J21" s="4">
        <v>1.1599999999999999</v>
      </c>
      <c r="K21" s="4">
        <v>2.68</v>
      </c>
      <c r="L21" s="4">
        <v>2.16</v>
      </c>
      <c r="M21" s="4">
        <v>1.38</v>
      </c>
    </row>
    <row r="22" spans="1:13" ht="15" customHeight="1" x14ac:dyDescent="0.2">
      <c r="A22" s="1">
        <v>1987</v>
      </c>
      <c r="B22" s="4">
        <v>1.17</v>
      </c>
      <c r="C22" s="4">
        <v>1.1499999999999999</v>
      </c>
      <c r="D22" s="4">
        <v>0.26</v>
      </c>
      <c r="E22" s="4">
        <v>0.27</v>
      </c>
      <c r="F22" s="4">
        <v>1.2</v>
      </c>
      <c r="G22" s="4">
        <v>1.41</v>
      </c>
      <c r="H22" s="4">
        <v>2.79</v>
      </c>
      <c r="I22" s="4">
        <v>3.74</v>
      </c>
      <c r="J22" s="4">
        <v>1.05</v>
      </c>
      <c r="K22" s="4">
        <v>0.45</v>
      </c>
      <c r="L22" s="4">
        <v>0.88</v>
      </c>
      <c r="M22" s="4">
        <v>2.59</v>
      </c>
    </row>
    <row r="23" spans="1:13" ht="15" customHeight="1" x14ac:dyDescent="0.2">
      <c r="A23" s="1">
        <v>1988</v>
      </c>
      <c r="B23" s="4">
        <v>1.17</v>
      </c>
      <c r="C23" s="4">
        <v>2.2400000000000002</v>
      </c>
      <c r="D23" s="4">
        <v>0.52</v>
      </c>
      <c r="E23" s="4">
        <v>1.59</v>
      </c>
      <c r="F23" s="4">
        <v>0</v>
      </c>
      <c r="G23" s="4">
        <v>1.36</v>
      </c>
      <c r="H23" s="4">
        <v>4.09</v>
      </c>
      <c r="I23" s="4">
        <v>9.93</v>
      </c>
      <c r="J23" s="4">
        <v>2.77</v>
      </c>
      <c r="K23" s="4">
        <v>1.29</v>
      </c>
      <c r="L23" s="4">
        <v>0.15</v>
      </c>
      <c r="M23" s="4">
        <v>0.39</v>
      </c>
    </row>
    <row r="24" spans="1:13" ht="15" customHeight="1" x14ac:dyDescent="0.2">
      <c r="A24" s="1">
        <v>1989</v>
      </c>
      <c r="B24" s="4">
        <v>1.1100000000000001</v>
      </c>
      <c r="C24" s="4">
        <v>0.32</v>
      </c>
      <c r="D24" s="4">
        <v>0.27</v>
      </c>
      <c r="E24" s="4">
        <v>0</v>
      </c>
      <c r="F24" s="4">
        <v>0.34</v>
      </c>
      <c r="G24" s="4">
        <v>0.09</v>
      </c>
      <c r="H24" s="4">
        <v>4.03</v>
      </c>
      <c r="I24" s="4">
        <v>2.5099999999999998</v>
      </c>
      <c r="J24" s="4">
        <v>2.21</v>
      </c>
      <c r="K24" s="4">
        <v>1.29</v>
      </c>
      <c r="L24" s="4">
        <v>7.0000000000000007E-2</v>
      </c>
      <c r="M24" s="4">
        <v>7.0000000000000007E-2</v>
      </c>
    </row>
    <row r="25" spans="1:13" ht="15" customHeight="1" x14ac:dyDescent="0.2">
      <c r="A25" s="1">
        <v>1990</v>
      </c>
      <c r="B25" s="4">
        <v>0.44</v>
      </c>
      <c r="C25" s="4">
        <v>0.53</v>
      </c>
      <c r="D25" s="4">
        <v>0.71</v>
      </c>
      <c r="E25" s="4">
        <v>0.7</v>
      </c>
      <c r="F25" s="4">
        <v>0.64</v>
      </c>
      <c r="G25" s="4">
        <v>0.28000000000000003</v>
      </c>
      <c r="H25" s="4">
        <v>3.7</v>
      </c>
      <c r="I25" s="4">
        <v>2.2000000000000002</v>
      </c>
      <c r="J25" s="4">
        <v>3.9</v>
      </c>
      <c r="K25" s="4">
        <v>0.79</v>
      </c>
      <c r="L25" s="4">
        <v>2.48</v>
      </c>
      <c r="M25" s="4">
        <v>2.09</v>
      </c>
    </row>
    <row r="26" spans="1:13" ht="15" customHeight="1" x14ac:dyDescent="0.2">
      <c r="A26" s="1">
        <v>1991</v>
      </c>
      <c r="B26" s="4">
        <v>0.68</v>
      </c>
      <c r="C26" s="4">
        <v>0.65</v>
      </c>
      <c r="D26" s="4">
        <v>1.31</v>
      </c>
      <c r="E26" s="4">
        <v>0</v>
      </c>
      <c r="F26" s="4">
        <v>0.17</v>
      </c>
      <c r="G26" s="4">
        <v>0.61</v>
      </c>
      <c r="H26" s="4">
        <v>4.38</v>
      </c>
      <c r="I26" s="4">
        <v>5.56</v>
      </c>
      <c r="J26" s="4">
        <v>2.1</v>
      </c>
      <c r="K26" s="4">
        <v>0.53</v>
      </c>
      <c r="L26" s="4">
        <v>0.33</v>
      </c>
      <c r="M26" s="4">
        <v>2.37</v>
      </c>
    </row>
    <row r="27" spans="1:13" ht="15" customHeight="1" x14ac:dyDescent="0.2">
      <c r="A27" s="1">
        <v>1992</v>
      </c>
      <c r="B27" s="4">
        <v>1.1599999999999999</v>
      </c>
      <c r="C27" s="4">
        <v>0.93</v>
      </c>
      <c r="D27" s="4">
        <v>1.34</v>
      </c>
      <c r="E27" s="4">
        <v>1.01</v>
      </c>
      <c r="F27" s="4">
        <v>3.93</v>
      </c>
      <c r="G27" s="4">
        <v>1.01</v>
      </c>
      <c r="H27" s="4">
        <v>3.86</v>
      </c>
      <c r="I27" s="4">
        <v>2.1</v>
      </c>
      <c r="J27" s="4">
        <v>1.56</v>
      </c>
      <c r="K27" s="4">
        <v>0.74</v>
      </c>
      <c r="L27" s="4">
        <v>0.1</v>
      </c>
      <c r="M27" s="4">
        <v>3.29</v>
      </c>
    </row>
    <row r="28" spans="1:13" ht="15" customHeight="1" x14ac:dyDescent="0.2">
      <c r="A28" s="1">
        <v>1993</v>
      </c>
      <c r="B28" s="4">
        <v>2.33</v>
      </c>
      <c r="C28" s="4">
        <v>1.6</v>
      </c>
      <c r="D28" s="4">
        <v>0.6</v>
      </c>
      <c r="E28" s="4">
        <v>0</v>
      </c>
      <c r="F28" s="4">
        <v>0.9</v>
      </c>
      <c r="G28" s="4">
        <v>0.41</v>
      </c>
      <c r="H28" s="4">
        <v>1.58</v>
      </c>
      <c r="I28" s="4">
        <v>7.56</v>
      </c>
      <c r="J28" s="4">
        <v>0.24</v>
      </c>
      <c r="K28" s="4">
        <v>1.82</v>
      </c>
      <c r="L28" s="4">
        <v>0.46</v>
      </c>
      <c r="M28" s="4">
        <v>0.11</v>
      </c>
    </row>
    <row r="29" spans="1:13" ht="15" customHeight="1" x14ac:dyDescent="0.2">
      <c r="A29" s="1">
        <v>1994</v>
      </c>
      <c r="B29" s="4">
        <v>0.47</v>
      </c>
      <c r="C29" s="4">
        <v>0.95</v>
      </c>
      <c r="D29" s="4">
        <v>0.55000000000000004</v>
      </c>
      <c r="E29" s="4">
        <v>0</v>
      </c>
      <c r="F29" s="4">
        <v>0.85</v>
      </c>
      <c r="G29" s="4">
        <v>0.26</v>
      </c>
      <c r="H29" s="4">
        <v>0.93</v>
      </c>
      <c r="I29" s="4">
        <v>3.57</v>
      </c>
      <c r="J29" s="4">
        <v>2.19</v>
      </c>
      <c r="K29" s="4">
        <v>0.82</v>
      </c>
      <c r="L29" s="4">
        <v>4.8600000000000003</v>
      </c>
      <c r="M29" s="4">
        <v>2.1800000000000002</v>
      </c>
    </row>
    <row r="30" spans="1:13" ht="15" customHeight="1" x14ac:dyDescent="0.2">
      <c r="A30" s="1">
        <v>1995</v>
      </c>
      <c r="B30" s="4">
        <v>1.18</v>
      </c>
      <c r="C30" s="4">
        <v>0.27</v>
      </c>
      <c r="D30" s="4">
        <v>0.45</v>
      </c>
      <c r="E30" s="4">
        <v>0.1</v>
      </c>
      <c r="F30" s="4">
        <v>0.05</v>
      </c>
      <c r="G30" s="4">
        <v>0.11</v>
      </c>
      <c r="H30" s="4">
        <v>3.02</v>
      </c>
      <c r="I30" s="4">
        <v>3.8</v>
      </c>
      <c r="J30" s="4">
        <v>1.79</v>
      </c>
      <c r="K30" s="4">
        <v>0</v>
      </c>
      <c r="L30" s="4">
        <v>0.7</v>
      </c>
      <c r="M30" s="4">
        <v>0.22</v>
      </c>
    </row>
    <row r="31" spans="1:13" ht="15" customHeight="1" x14ac:dyDescent="0.2">
      <c r="A31" s="1">
        <v>1996</v>
      </c>
      <c r="B31" s="4">
        <v>0</v>
      </c>
      <c r="C31" s="4">
        <v>1.51</v>
      </c>
      <c r="D31" s="4">
        <v>0</v>
      </c>
      <c r="E31" s="4">
        <v>0.33</v>
      </c>
      <c r="F31" s="4">
        <v>0</v>
      </c>
      <c r="G31" s="4">
        <v>1.0900000000000001</v>
      </c>
      <c r="H31" s="4">
        <v>2.4</v>
      </c>
      <c r="I31" s="4">
        <v>3.74</v>
      </c>
      <c r="J31" s="4">
        <v>1.84</v>
      </c>
      <c r="K31" s="4">
        <v>2.85</v>
      </c>
      <c r="L31" s="4">
        <v>0.27</v>
      </c>
      <c r="M31" s="4">
        <v>0</v>
      </c>
    </row>
    <row r="32" spans="1:13" ht="15" customHeight="1" x14ac:dyDescent="0.2">
      <c r="A32" s="1">
        <v>1997</v>
      </c>
      <c r="B32" s="4">
        <v>0.69</v>
      </c>
      <c r="C32" s="4">
        <v>0.6</v>
      </c>
      <c r="D32" s="4">
        <v>0.72</v>
      </c>
      <c r="E32" s="4">
        <v>0.39</v>
      </c>
      <c r="F32" s="4">
        <v>1.54</v>
      </c>
      <c r="G32" s="4">
        <v>0.34</v>
      </c>
      <c r="H32" s="4">
        <v>3.84</v>
      </c>
      <c r="I32" s="4">
        <v>3.13</v>
      </c>
      <c r="J32" s="4">
        <v>6.47</v>
      </c>
      <c r="K32" s="4">
        <v>0.1</v>
      </c>
      <c r="L32" s="4">
        <v>0</v>
      </c>
      <c r="M32" s="4">
        <v>1.1499999999999999</v>
      </c>
    </row>
    <row r="33" spans="1:13" ht="15" customHeight="1" x14ac:dyDescent="0.2">
      <c r="A33" s="1">
        <v>1998</v>
      </c>
      <c r="B33" s="4">
        <v>0.21</v>
      </c>
      <c r="C33" s="4">
        <v>0.96</v>
      </c>
      <c r="D33" s="4">
        <v>1.23</v>
      </c>
      <c r="E33" s="4">
        <v>0.75</v>
      </c>
      <c r="F33" s="4">
        <v>0</v>
      </c>
      <c r="G33" s="4">
        <v>0.04</v>
      </c>
      <c r="H33" s="4">
        <v>4.33</v>
      </c>
      <c r="I33" s="4">
        <v>3.13</v>
      </c>
      <c r="J33" s="4">
        <v>2.37</v>
      </c>
      <c r="K33" s="4">
        <v>1.55</v>
      </c>
      <c r="L33" s="4">
        <v>0.48</v>
      </c>
      <c r="M33" s="4">
        <v>1.28</v>
      </c>
    </row>
    <row r="34" spans="1:13" ht="15" customHeight="1" x14ac:dyDescent="0.2">
      <c r="A34" s="1">
        <v>1999</v>
      </c>
      <c r="B34" s="4">
        <v>0.06</v>
      </c>
      <c r="C34" s="4">
        <v>0</v>
      </c>
      <c r="D34" s="4">
        <v>7.0000000000000007E-2</v>
      </c>
      <c r="E34" s="4">
        <v>7.0000000000000007E-2</v>
      </c>
      <c r="F34" s="4">
        <v>0.54</v>
      </c>
      <c r="G34" s="4">
        <v>0.24</v>
      </c>
      <c r="H34" s="4">
        <v>0.67</v>
      </c>
      <c r="I34" s="4">
        <v>3.13</v>
      </c>
      <c r="J34" s="4">
        <v>2.37</v>
      </c>
      <c r="K34" s="4">
        <v>0</v>
      </c>
      <c r="L34" s="4">
        <v>0</v>
      </c>
      <c r="M34" s="4">
        <v>1.28</v>
      </c>
    </row>
    <row r="35" spans="1:13" ht="15" customHeight="1" x14ac:dyDescent="0.2">
      <c r="A35" s="1">
        <v>2000</v>
      </c>
      <c r="B35" s="4">
        <v>0.77</v>
      </c>
      <c r="C35" s="4">
        <v>0.72</v>
      </c>
      <c r="D35" s="4">
        <v>1.05</v>
      </c>
      <c r="E35" s="4">
        <v>0.04</v>
      </c>
      <c r="F35" s="4">
        <v>0</v>
      </c>
      <c r="G35" s="4">
        <v>0.77</v>
      </c>
      <c r="H35" s="4">
        <v>1.45</v>
      </c>
      <c r="I35" s="4">
        <v>3.21</v>
      </c>
      <c r="J35" s="4">
        <v>0.06</v>
      </c>
      <c r="K35" s="4">
        <v>1.43</v>
      </c>
      <c r="L35" s="4">
        <v>2</v>
      </c>
      <c r="M35" s="4">
        <v>0.95</v>
      </c>
    </row>
    <row r="36" spans="1:13" ht="15" customHeight="1" x14ac:dyDescent="0.2">
      <c r="A36" s="1">
        <v>2001</v>
      </c>
      <c r="B36" s="4">
        <v>0.85</v>
      </c>
      <c r="C36" s="4">
        <v>0.71</v>
      </c>
      <c r="D36" s="4">
        <v>0.09</v>
      </c>
      <c r="E36" s="4">
        <v>0.66</v>
      </c>
      <c r="F36" s="4">
        <v>0.78</v>
      </c>
      <c r="G36" s="4">
        <v>0.34</v>
      </c>
      <c r="H36" s="4">
        <v>1.62</v>
      </c>
      <c r="I36" s="4">
        <v>2.66</v>
      </c>
      <c r="J36" s="4">
        <v>2.0699999999999998</v>
      </c>
      <c r="K36" s="4">
        <v>0.05</v>
      </c>
      <c r="L36" s="4">
        <v>0.17</v>
      </c>
      <c r="M36" s="4">
        <v>0.93</v>
      </c>
    </row>
    <row r="37" spans="1:13" ht="15" customHeight="1" x14ac:dyDescent="0.2">
      <c r="A37" s="1">
        <v>2002</v>
      </c>
      <c r="B37" s="4">
        <v>0.36</v>
      </c>
      <c r="C37" s="4">
        <v>0.2</v>
      </c>
      <c r="D37" s="4">
        <v>0.04</v>
      </c>
      <c r="E37" s="4">
        <v>0.11</v>
      </c>
      <c r="F37" s="4">
        <v>0.2</v>
      </c>
      <c r="G37" s="4">
        <v>0</v>
      </c>
      <c r="H37" s="4">
        <v>3.89</v>
      </c>
      <c r="I37" s="4">
        <v>2.87</v>
      </c>
      <c r="J37" s="4">
        <v>2.25</v>
      </c>
      <c r="K37" s="4">
        <v>0.33</v>
      </c>
      <c r="L37" s="4">
        <v>0.57999999999999996</v>
      </c>
      <c r="M37" s="4">
        <v>0.31</v>
      </c>
    </row>
    <row r="38" spans="1:13" ht="15" customHeight="1" x14ac:dyDescent="0.2">
      <c r="A38" s="1">
        <v>2003</v>
      </c>
      <c r="B38" s="4">
        <v>0.11</v>
      </c>
      <c r="C38" s="4">
        <v>2.14</v>
      </c>
      <c r="D38" s="4">
        <v>0.88</v>
      </c>
      <c r="E38" s="4">
        <v>0.52</v>
      </c>
      <c r="F38" s="4">
        <v>0.01</v>
      </c>
      <c r="G38" s="4">
        <v>0.51</v>
      </c>
      <c r="H38" s="4">
        <v>1.51</v>
      </c>
      <c r="I38" s="4">
        <v>2.0299999999999998</v>
      </c>
      <c r="J38" s="4">
        <v>1.67</v>
      </c>
      <c r="K38" s="4">
        <v>1.32</v>
      </c>
      <c r="L38" s="4">
        <v>2.0699999999999998</v>
      </c>
      <c r="M38" s="4">
        <v>0.55000000000000004</v>
      </c>
    </row>
    <row r="39" spans="1:13" ht="15" customHeight="1" x14ac:dyDescent="0.2">
      <c r="A39" s="1">
        <v>2004</v>
      </c>
      <c r="B39" s="4">
        <v>0.77</v>
      </c>
      <c r="C39" s="4">
        <v>0.72</v>
      </c>
      <c r="D39" s="4">
        <v>1.21</v>
      </c>
      <c r="E39" s="4">
        <v>3.39</v>
      </c>
      <c r="F39" s="4">
        <v>0.48</v>
      </c>
      <c r="G39" s="4">
        <v>1.28</v>
      </c>
      <c r="H39" s="4">
        <v>2.33</v>
      </c>
      <c r="I39" s="4">
        <v>3.04</v>
      </c>
      <c r="J39" s="4">
        <v>0.83</v>
      </c>
      <c r="K39" s="4">
        <v>2.16</v>
      </c>
      <c r="L39" s="4">
        <v>0.54</v>
      </c>
      <c r="M39" s="4">
        <v>0.95</v>
      </c>
    </row>
    <row r="40" spans="1:13" ht="15" customHeight="1" x14ac:dyDescent="0.2">
      <c r="A40" s="1">
        <v>2005</v>
      </c>
      <c r="B40" s="4">
        <v>3.17</v>
      </c>
      <c r="C40" s="4">
        <v>1.98</v>
      </c>
      <c r="D40" s="4">
        <v>1.44</v>
      </c>
      <c r="E40" s="4">
        <v>1.06</v>
      </c>
      <c r="F40" s="4">
        <v>0.08</v>
      </c>
      <c r="G40" s="4">
        <v>0.01</v>
      </c>
      <c r="H40" s="4">
        <v>1.08</v>
      </c>
      <c r="I40" s="4">
        <v>3.93</v>
      </c>
      <c r="J40" s="4">
        <v>4.2</v>
      </c>
      <c r="K40" s="4">
        <v>1.1100000000000001</v>
      </c>
      <c r="L40" s="4">
        <v>0.05</v>
      </c>
      <c r="M40" s="4">
        <v>0.03</v>
      </c>
    </row>
    <row r="41" spans="1:13" ht="15" customHeight="1" x14ac:dyDescent="0.2">
      <c r="A41" s="1">
        <v>2006</v>
      </c>
      <c r="B41" s="4">
        <v>0.53</v>
      </c>
      <c r="C41" s="4">
        <v>0</v>
      </c>
      <c r="D41" s="4">
        <v>1.1100000000000001</v>
      </c>
      <c r="E41" s="4">
        <v>0.36</v>
      </c>
      <c r="F41" s="4">
        <v>0.56000000000000005</v>
      </c>
      <c r="G41" s="4">
        <v>0.68</v>
      </c>
      <c r="H41" s="4">
        <v>4.4000000000000004</v>
      </c>
      <c r="I41" s="4">
        <v>4.47</v>
      </c>
      <c r="J41" s="4">
        <v>3.76</v>
      </c>
      <c r="K41" s="4">
        <v>1.63</v>
      </c>
      <c r="L41" s="4">
        <v>0.02</v>
      </c>
      <c r="M41" s="4">
        <v>0.8</v>
      </c>
    </row>
    <row r="42" spans="1:13" ht="15" customHeight="1" x14ac:dyDescent="0.2">
      <c r="A42" s="1">
        <v>2007</v>
      </c>
      <c r="B42" s="4">
        <v>0.86</v>
      </c>
      <c r="C42" s="4">
        <v>0.44</v>
      </c>
      <c r="D42" s="4">
        <v>0.75</v>
      </c>
      <c r="E42" s="4">
        <v>0.9</v>
      </c>
      <c r="F42" s="4">
        <v>2.23</v>
      </c>
      <c r="G42" s="4">
        <v>0.45</v>
      </c>
      <c r="H42" s="4">
        <v>4.71</v>
      </c>
      <c r="I42" s="4">
        <v>2.2799999999999998</v>
      </c>
      <c r="J42" s="4">
        <v>1.94</v>
      </c>
      <c r="K42" s="4">
        <v>0.28000000000000003</v>
      </c>
      <c r="L42" s="4">
        <v>0.45</v>
      </c>
      <c r="M42" s="4">
        <v>3.96</v>
      </c>
    </row>
    <row r="43" spans="1:13" ht="15" customHeight="1" x14ac:dyDescent="0.2">
      <c r="A43" s="1">
        <v>2008</v>
      </c>
      <c r="B43" s="4">
        <v>1.2</v>
      </c>
      <c r="C43" s="4">
        <v>0.3</v>
      </c>
      <c r="D43" s="4">
        <v>0.05</v>
      </c>
      <c r="E43" s="4">
        <v>0.05</v>
      </c>
      <c r="F43" s="4">
        <v>0.71</v>
      </c>
      <c r="G43" s="4">
        <v>0.13</v>
      </c>
      <c r="H43" s="4">
        <v>4.6900000000000004</v>
      </c>
      <c r="I43" s="4">
        <v>2.0099999999999998</v>
      </c>
      <c r="J43" s="4">
        <v>0.91</v>
      </c>
      <c r="K43" s="4">
        <v>1.54</v>
      </c>
      <c r="L43" s="4">
        <v>0.65</v>
      </c>
      <c r="M43" s="4">
        <v>1.57</v>
      </c>
    </row>
    <row r="44" spans="1:13" ht="15" customHeight="1" x14ac:dyDescent="0.2">
      <c r="A44" s="1">
        <v>2009</v>
      </c>
      <c r="B44" s="4">
        <v>0.32</v>
      </c>
      <c r="C44" s="4">
        <v>0.69</v>
      </c>
      <c r="D44" s="4">
        <v>0.49</v>
      </c>
      <c r="E44" s="4">
        <v>0.52</v>
      </c>
      <c r="F44" s="4">
        <v>0.73</v>
      </c>
      <c r="G44" s="4">
        <v>1.45</v>
      </c>
      <c r="H44" s="4">
        <v>2.62</v>
      </c>
      <c r="I44" s="4">
        <v>5.48</v>
      </c>
      <c r="J44" s="4">
        <v>1.5</v>
      </c>
      <c r="K44" s="4">
        <v>0.5</v>
      </c>
      <c r="L44" s="4">
        <v>0.11</v>
      </c>
      <c r="M44" s="4">
        <v>1.67</v>
      </c>
    </row>
    <row r="45" spans="1:13" ht="15" customHeight="1" x14ac:dyDescent="0.2">
      <c r="A45" s="1">
        <v>2010</v>
      </c>
      <c r="B45" s="4">
        <v>4.21</v>
      </c>
      <c r="C45" s="4">
        <v>0.68</v>
      </c>
      <c r="D45" s="4">
        <v>1.31</v>
      </c>
      <c r="E45" s="4">
        <v>0.31</v>
      </c>
      <c r="F45" s="4">
        <v>0.23</v>
      </c>
      <c r="G45" s="4">
        <v>0.02</v>
      </c>
      <c r="H45" s="4">
        <v>1.85</v>
      </c>
      <c r="I45" s="4">
        <v>1.43</v>
      </c>
      <c r="J45" s="4">
        <v>0.91</v>
      </c>
      <c r="K45" s="4">
        <v>7.0000000000000007E-2</v>
      </c>
      <c r="L45" s="4">
        <v>0.03</v>
      </c>
      <c r="M45" s="4">
        <v>1.93</v>
      </c>
    </row>
    <row r="46" spans="1:13" ht="15" customHeight="1" x14ac:dyDescent="0.2">
      <c r="A46" s="1">
        <v>2011</v>
      </c>
      <c r="B46" s="4">
        <v>0</v>
      </c>
      <c r="C46" s="4">
        <v>0.25</v>
      </c>
      <c r="D46" s="4">
        <v>0</v>
      </c>
      <c r="E46" s="4">
        <v>0.27</v>
      </c>
      <c r="F46" s="4">
        <v>0.08</v>
      </c>
      <c r="G46" s="4">
        <v>0.12</v>
      </c>
      <c r="H46" s="4">
        <v>5.2</v>
      </c>
      <c r="I46" s="4">
        <v>3.41</v>
      </c>
      <c r="J46" s="4">
        <v>2.94</v>
      </c>
      <c r="K46" s="4">
        <v>1.61</v>
      </c>
      <c r="L46" s="4">
        <v>0.96</v>
      </c>
      <c r="M46" s="4">
        <v>4.0599999999999996</v>
      </c>
    </row>
    <row r="47" spans="1:13" ht="15" customHeight="1" x14ac:dyDescent="0.2">
      <c r="A47" s="1">
        <v>2012</v>
      </c>
      <c r="B47" s="4">
        <v>0.87</v>
      </c>
      <c r="C47" s="4">
        <v>0.36</v>
      </c>
      <c r="D47" s="4">
        <v>0.38</v>
      </c>
      <c r="E47" s="4">
        <v>0.04</v>
      </c>
      <c r="F47" s="4">
        <v>0</v>
      </c>
      <c r="G47" s="4">
        <v>0.13</v>
      </c>
      <c r="H47" s="4">
        <v>3.4</v>
      </c>
      <c r="I47" s="4">
        <v>4.3600000000000003</v>
      </c>
      <c r="J47" s="4">
        <v>1.78</v>
      </c>
      <c r="K47" s="4">
        <v>0.13</v>
      </c>
      <c r="L47" s="4">
        <v>1.1599999999999999</v>
      </c>
      <c r="M47" s="4">
        <v>1.27</v>
      </c>
    </row>
    <row r="48" spans="1:13" ht="15" customHeight="1" x14ac:dyDescent="0.2">
      <c r="A48" s="1">
        <v>2013</v>
      </c>
      <c r="B48" s="4">
        <v>1.1399999999999999</v>
      </c>
      <c r="C48" s="4">
        <v>0.85</v>
      </c>
      <c r="D48" s="4">
        <v>0.54</v>
      </c>
      <c r="E48" s="4">
        <v>0.43</v>
      </c>
      <c r="F48" s="4">
        <v>0.27</v>
      </c>
      <c r="G48" s="4">
        <v>0</v>
      </c>
      <c r="H48" s="4">
        <v>5.55</v>
      </c>
      <c r="I48" s="4">
        <v>5.92</v>
      </c>
      <c r="J48" s="4">
        <v>3.66</v>
      </c>
      <c r="K48" s="4">
        <v>0.52</v>
      </c>
      <c r="L48" s="4">
        <v>2.2000000000000002</v>
      </c>
      <c r="M48" s="4">
        <v>0.46</v>
      </c>
    </row>
    <row r="49" spans="1:26" ht="15" customHeight="1" x14ac:dyDescent="0.2">
      <c r="A49" s="1">
        <v>2014</v>
      </c>
      <c r="B49" s="4">
        <v>0</v>
      </c>
      <c r="C49" s="4">
        <v>0.14000000000000001</v>
      </c>
      <c r="D49" s="4">
        <v>1.05</v>
      </c>
      <c r="E49" s="4">
        <v>0.45</v>
      </c>
      <c r="F49" s="4">
        <v>0</v>
      </c>
      <c r="G49" s="4">
        <v>0.34</v>
      </c>
      <c r="H49" s="4">
        <v>6.63</v>
      </c>
      <c r="I49" s="4">
        <v>3.1</v>
      </c>
      <c r="J49" s="4">
        <v>2.69</v>
      </c>
      <c r="K49" s="4">
        <v>1.38</v>
      </c>
      <c r="L49" s="4">
        <v>1.29</v>
      </c>
      <c r="M49" s="4">
        <v>0.9</v>
      </c>
      <c r="O49" s="7"/>
    </row>
    <row r="50" spans="1:26" ht="15" customHeight="1" x14ac:dyDescent="0.2">
      <c r="A50" s="1">
        <v>2015</v>
      </c>
      <c r="B50" s="4">
        <v>2.72</v>
      </c>
      <c r="C50" s="4">
        <v>0.23</v>
      </c>
      <c r="D50" s="4">
        <v>0.96</v>
      </c>
      <c r="E50" s="4">
        <v>0.38</v>
      </c>
      <c r="F50" s="4">
        <v>0.16</v>
      </c>
      <c r="G50" s="4">
        <v>0.56000000000000005</v>
      </c>
      <c r="H50" s="4">
        <v>1.3</v>
      </c>
      <c r="I50" s="4">
        <v>2.5099999999999998</v>
      </c>
      <c r="J50" s="4">
        <v>2.99</v>
      </c>
      <c r="K50" s="4">
        <v>0.67</v>
      </c>
      <c r="L50" s="4">
        <v>0.1</v>
      </c>
      <c r="M50" s="4">
        <v>0</v>
      </c>
      <c r="O50" s="4"/>
    </row>
    <row r="51" spans="1:26" ht="15" customHeight="1" x14ac:dyDescent="0.2">
      <c r="A51" s="1">
        <v>2016</v>
      </c>
      <c r="B51" s="4">
        <v>1.64</v>
      </c>
      <c r="C51" s="4">
        <v>0</v>
      </c>
      <c r="D51" s="4">
        <v>0.21</v>
      </c>
      <c r="E51" s="4">
        <v>0.36</v>
      </c>
      <c r="F51" s="4">
        <v>0.9</v>
      </c>
      <c r="G51" s="4">
        <v>0.56000000000000005</v>
      </c>
      <c r="H51" s="4">
        <v>2.5499999999999998</v>
      </c>
      <c r="I51" s="4">
        <v>4.2300000000000004</v>
      </c>
      <c r="J51" s="4">
        <v>6.48</v>
      </c>
      <c r="K51" s="4">
        <v>0.45</v>
      </c>
      <c r="L51" s="4">
        <v>0.6</v>
      </c>
      <c r="M51" s="4">
        <v>2.9</v>
      </c>
    </row>
    <row r="52" spans="1:26" ht="15" customHeight="1" x14ac:dyDescent="0.2">
      <c r="A52" s="1">
        <v>2017</v>
      </c>
      <c r="B52" s="4">
        <v>0.98</v>
      </c>
      <c r="C52" s="4">
        <v>1.59</v>
      </c>
      <c r="D52" s="4">
        <v>0</v>
      </c>
      <c r="E52" s="4">
        <v>0</v>
      </c>
      <c r="F52" s="4">
        <v>0.31</v>
      </c>
      <c r="G52" s="4">
        <v>0.17</v>
      </c>
      <c r="H52" s="4">
        <v>6.3</v>
      </c>
      <c r="I52" s="4">
        <v>2.14</v>
      </c>
      <c r="J52" s="4">
        <v>0.15</v>
      </c>
      <c r="K52" s="4">
        <v>0.3</v>
      </c>
      <c r="L52" s="4">
        <v>0</v>
      </c>
      <c r="M52" s="4">
        <v>0.08</v>
      </c>
    </row>
    <row r="53" spans="1:26" ht="15" customHeight="1" x14ac:dyDescent="0.2">
      <c r="A53" s="1">
        <v>2018</v>
      </c>
      <c r="B53" s="4">
        <v>1</v>
      </c>
      <c r="C53" s="4">
        <v>2.2799999999999998</v>
      </c>
      <c r="D53" s="4">
        <v>0.45</v>
      </c>
      <c r="E53" s="4">
        <v>0</v>
      </c>
      <c r="F53" s="4">
        <v>0.03</v>
      </c>
      <c r="G53" s="4">
        <v>0.61</v>
      </c>
      <c r="H53" s="4">
        <v>4.45</v>
      </c>
      <c r="I53" s="4">
        <v>2.52</v>
      </c>
      <c r="J53" s="4">
        <v>3.26</v>
      </c>
      <c r="K53" s="4">
        <v>2.09</v>
      </c>
      <c r="L53" s="4">
        <v>0</v>
      </c>
      <c r="M53" s="4">
        <v>1.38</v>
      </c>
    </row>
    <row r="54" spans="1:26" ht="15" customHeight="1" x14ac:dyDescent="0.2">
      <c r="A54" s="1">
        <v>2019</v>
      </c>
      <c r="B54" s="4">
        <v>1.02</v>
      </c>
      <c r="C54" s="4">
        <v>1.25</v>
      </c>
      <c r="D54" s="4">
        <v>1.67</v>
      </c>
      <c r="E54" s="4">
        <v>0.26</v>
      </c>
      <c r="F54" s="4">
        <v>0.37</v>
      </c>
      <c r="G54" s="4">
        <v>0</v>
      </c>
      <c r="H54" s="4">
        <v>1.86</v>
      </c>
      <c r="I54" s="4">
        <v>3.14</v>
      </c>
      <c r="J54" s="4">
        <v>1.91</v>
      </c>
      <c r="K54" s="4">
        <v>0.39</v>
      </c>
      <c r="L54" s="4">
        <v>3.43</v>
      </c>
      <c r="M54" s="4">
        <v>2.06</v>
      </c>
    </row>
    <row r="55" spans="1:26" ht="15" customHeight="1" x14ac:dyDescent="0.2">
      <c r="A55" s="10">
        <v>2020</v>
      </c>
      <c r="B55" s="4">
        <v>1.31</v>
      </c>
      <c r="C55" s="4">
        <v>1.55</v>
      </c>
      <c r="D55" s="4">
        <v>2.42</v>
      </c>
      <c r="E55" s="4">
        <v>0.12</v>
      </c>
      <c r="F55" s="4">
        <v>0.16</v>
      </c>
      <c r="G55" s="4">
        <v>0</v>
      </c>
      <c r="H55" s="4">
        <v>1.17</v>
      </c>
      <c r="I55" s="4">
        <v>0.75</v>
      </c>
      <c r="J55" s="4">
        <v>0.83</v>
      </c>
      <c r="K55" s="4">
        <v>0.62</v>
      </c>
      <c r="L55" s="4">
        <v>0.65</v>
      </c>
      <c r="M55" s="4">
        <v>0.7</v>
      </c>
      <c r="N55" s="4"/>
      <c r="O55" s="4"/>
    </row>
    <row r="56" spans="1:26" ht="15" customHeight="1" x14ac:dyDescent="0.2">
      <c r="A56" s="10">
        <v>2021</v>
      </c>
      <c r="B56" s="4">
        <v>0.39</v>
      </c>
      <c r="C56" s="4">
        <v>0.26</v>
      </c>
      <c r="D56" s="4">
        <v>0.29999999999999993</v>
      </c>
      <c r="E56" s="4">
        <v>0.37</v>
      </c>
      <c r="F56" s="4">
        <v>9.0000000000000024E-2</v>
      </c>
      <c r="G56" s="4">
        <v>0.38999999999999996</v>
      </c>
      <c r="H56" s="4">
        <v>2.9499999999999997</v>
      </c>
      <c r="I56" s="4">
        <v>2.0099999999999998</v>
      </c>
      <c r="J56" s="4">
        <v>2.0700000000000003</v>
      </c>
      <c r="K56" s="4">
        <v>0.42000000000000082</v>
      </c>
      <c r="L56" s="4">
        <v>5.9999999999998721E-2</v>
      </c>
      <c r="M56" s="4">
        <v>1.6400000000000006</v>
      </c>
      <c r="N56" s="4"/>
      <c r="O56" s="4"/>
    </row>
    <row r="57" spans="1:26" ht="15" customHeight="1" x14ac:dyDescent="0.2">
      <c r="A57" s="10">
        <v>2022</v>
      </c>
      <c r="B57" s="4">
        <v>0.9234</v>
      </c>
      <c r="C57" s="4">
        <v>0.33639999999999998</v>
      </c>
      <c r="D57" s="4">
        <v>0.3009</v>
      </c>
      <c r="E57" s="4">
        <v>0</v>
      </c>
      <c r="F57" s="4">
        <v>0</v>
      </c>
      <c r="G57" s="4">
        <v>2.9243999999999999</v>
      </c>
      <c r="H57" s="4">
        <v>3.3129</v>
      </c>
      <c r="I57" s="4">
        <v>5.3048000000000002</v>
      </c>
      <c r="J57" s="4">
        <v>1.8704000000000001</v>
      </c>
      <c r="K57" s="4">
        <v>2.6818</v>
      </c>
      <c r="L57" s="4">
        <v>0.35420000000000001</v>
      </c>
      <c r="M57" s="4">
        <v>1.9671000000000001</v>
      </c>
      <c r="N57" s="4"/>
      <c r="O57" s="4"/>
    </row>
    <row r="58" spans="1:26" ht="15" customHeight="1" x14ac:dyDescent="0.2">
      <c r="A58" s="10">
        <v>2023</v>
      </c>
      <c r="B58" s="4">
        <v>1.68</v>
      </c>
      <c r="C58" s="4">
        <v>0.93</v>
      </c>
      <c r="D58" s="4">
        <v>1.18</v>
      </c>
      <c r="E58" s="4">
        <v>0</v>
      </c>
      <c r="F58" s="4">
        <v>0.59</v>
      </c>
      <c r="G58" s="4">
        <v>7.0000000000000007E-2</v>
      </c>
      <c r="H58" s="4">
        <v>0.95</v>
      </c>
      <c r="I58" s="4">
        <v>2.69</v>
      </c>
      <c r="J58" s="4">
        <v>1.2</v>
      </c>
      <c r="K58" s="4">
        <v>0.35</v>
      </c>
      <c r="L58" s="4">
        <v>0.64</v>
      </c>
      <c r="M58" s="4">
        <v>1.27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">
      <c r="A59" s="10">
        <v>2024</v>
      </c>
      <c r="B59" s="1">
        <v>1.3</v>
      </c>
      <c r="C59" s="1">
        <v>1.29</v>
      </c>
      <c r="D59" s="1">
        <v>2.31</v>
      </c>
      <c r="E59" s="1">
        <v>0.34</v>
      </c>
      <c r="F59" s="1">
        <v>0.11</v>
      </c>
      <c r="G59" s="1">
        <v>0.84</v>
      </c>
      <c r="H59" s="1">
        <v>3.05</v>
      </c>
      <c r="I59" s="1">
        <v>1.89</v>
      </c>
      <c r="J59" s="1">
        <v>0.55000000000000004</v>
      </c>
      <c r="K59" s="1">
        <v>0.64</v>
      </c>
      <c r="L59" s="1">
        <v>0.6</v>
      </c>
      <c r="M59" s="1"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">
      <c r="A60" s="2" t="s">
        <v>3</v>
      </c>
      <c r="B60" s="2"/>
      <c r="C60" s="2"/>
      <c r="D60" s="2" t="s">
        <v>2</v>
      </c>
      <c r="E60" s="2"/>
      <c r="F60" s="2"/>
      <c r="G60" s="2"/>
      <c r="H60" s="2"/>
      <c r="I60" s="2"/>
      <c r="J60" s="2"/>
      <c r="K60" s="2"/>
      <c r="L60" s="2"/>
      <c r="M60" s="2"/>
    </row>
    <row r="61" spans="1:26" ht="15" customHeight="1" x14ac:dyDescent="0.2">
      <c r="A61" s="2"/>
      <c r="B61" s="5" t="s">
        <v>123</v>
      </c>
      <c r="C61" s="5" t="s">
        <v>124</v>
      </c>
      <c r="D61" s="5" t="s">
        <v>125</v>
      </c>
      <c r="E61" s="5" t="s">
        <v>126</v>
      </c>
      <c r="F61" s="5" t="s">
        <v>127</v>
      </c>
      <c r="G61" s="5" t="s">
        <v>128</v>
      </c>
      <c r="H61" s="5" t="s">
        <v>129</v>
      </c>
      <c r="I61" s="5" t="s">
        <v>130</v>
      </c>
      <c r="J61" s="5" t="s">
        <v>131</v>
      </c>
      <c r="K61" s="5" t="s">
        <v>132</v>
      </c>
      <c r="L61" s="5" t="s">
        <v>133</v>
      </c>
      <c r="M61" s="5" t="s">
        <v>134</v>
      </c>
    </row>
    <row r="62" spans="1:26" ht="15" customHeight="1" x14ac:dyDescent="0.2">
      <c r="A62" s="1">
        <v>1968</v>
      </c>
      <c r="B62" s="9">
        <v>20.399999999999999</v>
      </c>
      <c r="C62" s="9">
        <v>36.9</v>
      </c>
      <c r="D62" s="9">
        <v>41.2</v>
      </c>
      <c r="E62" s="9">
        <v>47.7</v>
      </c>
      <c r="F62" s="9">
        <v>54.1</v>
      </c>
      <c r="G62" s="9">
        <v>64.3</v>
      </c>
      <c r="H62" s="9">
        <v>67.400000000000006</v>
      </c>
      <c r="I62" s="9">
        <v>62.7</v>
      </c>
      <c r="J62" s="9">
        <v>58</v>
      </c>
      <c r="K62" s="9">
        <v>51</v>
      </c>
      <c r="L62" s="9">
        <v>37.5</v>
      </c>
      <c r="M62" s="9">
        <v>26.5</v>
      </c>
    </row>
    <row r="63" spans="1:26" ht="15" customHeight="1" x14ac:dyDescent="0.2">
      <c r="A63" s="1">
        <v>1969</v>
      </c>
      <c r="B63" s="9">
        <v>34.1</v>
      </c>
      <c r="C63" s="9">
        <v>34.700000000000003</v>
      </c>
      <c r="D63" s="9">
        <v>35.1</v>
      </c>
      <c r="E63" s="9">
        <v>47.7</v>
      </c>
      <c r="F63" s="9">
        <v>55.7</v>
      </c>
      <c r="G63" s="9">
        <v>63.7</v>
      </c>
      <c r="H63" s="9">
        <v>69.599999999999994</v>
      </c>
      <c r="I63" s="9">
        <v>69.3</v>
      </c>
      <c r="J63" s="9">
        <v>60.9</v>
      </c>
      <c r="K63" s="9">
        <v>49.6</v>
      </c>
      <c r="L63" s="9">
        <v>37.1</v>
      </c>
      <c r="M63" s="9">
        <v>36.700000000000003</v>
      </c>
    </row>
    <row r="64" spans="1:26" ht="15" customHeight="1" x14ac:dyDescent="0.2">
      <c r="A64" s="1">
        <v>1970</v>
      </c>
      <c r="B64" s="9">
        <v>27.3</v>
      </c>
      <c r="C64" s="9">
        <v>37.5</v>
      </c>
      <c r="D64" s="9">
        <v>37.5</v>
      </c>
      <c r="E64" s="9">
        <v>42.4</v>
      </c>
      <c r="F64" s="9">
        <v>55.6</v>
      </c>
      <c r="G64" s="9">
        <v>62.1</v>
      </c>
      <c r="H64" s="9">
        <v>70.400000000000006</v>
      </c>
      <c r="I64" s="9">
        <v>67.3</v>
      </c>
      <c r="J64" s="9">
        <v>60.6</v>
      </c>
      <c r="K64" s="9">
        <v>45.3</v>
      </c>
      <c r="L64" s="9">
        <v>42</v>
      </c>
      <c r="M64" s="9">
        <v>30.6</v>
      </c>
    </row>
    <row r="65" spans="1:13" ht="15" customHeight="1" x14ac:dyDescent="0.2">
      <c r="A65" s="1">
        <v>1971</v>
      </c>
      <c r="B65" s="9">
        <v>30.2</v>
      </c>
      <c r="C65" s="9">
        <v>34.299999999999997</v>
      </c>
      <c r="D65" s="9">
        <v>40.200000000000003</v>
      </c>
      <c r="E65" s="9">
        <v>44.9</v>
      </c>
      <c r="F65" s="9">
        <v>51.6</v>
      </c>
      <c r="G65" s="9">
        <v>64.599999999999994</v>
      </c>
      <c r="H65" s="9">
        <v>70.7</v>
      </c>
      <c r="I65" s="9">
        <v>67.900000000000006</v>
      </c>
      <c r="J65" s="9">
        <v>62</v>
      </c>
      <c r="K65" s="9">
        <v>49.2</v>
      </c>
      <c r="L65" s="9">
        <v>40.5</v>
      </c>
      <c r="M65" s="9">
        <v>30.1</v>
      </c>
    </row>
    <row r="66" spans="1:13" ht="15" customHeight="1" x14ac:dyDescent="0.2">
      <c r="A66" s="1">
        <v>1972</v>
      </c>
      <c r="B66" s="9">
        <v>31.5</v>
      </c>
      <c r="C66" s="9">
        <v>47.1</v>
      </c>
      <c r="D66" s="9">
        <v>45.2</v>
      </c>
      <c r="E66" s="9">
        <v>48.2</v>
      </c>
      <c r="F66" s="9">
        <v>53.8</v>
      </c>
      <c r="G66" s="9">
        <v>61.7</v>
      </c>
      <c r="H66" s="9">
        <v>66.8</v>
      </c>
      <c r="I66" s="9">
        <v>65.7</v>
      </c>
      <c r="J66" s="9">
        <v>59.1</v>
      </c>
      <c r="K66" s="9">
        <v>51.5</v>
      </c>
      <c r="L66" s="9">
        <v>35.9</v>
      </c>
      <c r="M66" s="9">
        <v>31.5</v>
      </c>
    </row>
    <row r="67" spans="1:13" ht="15" customHeight="1" x14ac:dyDescent="0.2">
      <c r="A67" s="1">
        <v>1973</v>
      </c>
      <c r="B67" s="9">
        <v>27.7</v>
      </c>
      <c r="C67" s="9">
        <v>32.4</v>
      </c>
      <c r="D67" s="9">
        <v>34</v>
      </c>
      <c r="E67" s="9">
        <v>39.9</v>
      </c>
      <c r="F67" s="9">
        <v>51</v>
      </c>
      <c r="G67" s="9">
        <v>58.2</v>
      </c>
      <c r="H67" s="9">
        <v>64.7</v>
      </c>
      <c r="I67" s="9">
        <v>69.7</v>
      </c>
      <c r="J67" s="9">
        <v>56</v>
      </c>
      <c r="K67" s="9">
        <v>48.9</v>
      </c>
      <c r="L67" s="9">
        <v>39.5</v>
      </c>
      <c r="M67" s="9">
        <v>32</v>
      </c>
    </row>
    <row r="68" spans="1:13" ht="15" customHeight="1" x14ac:dyDescent="0.2">
      <c r="A68" s="1">
        <v>1974</v>
      </c>
      <c r="B68" s="9">
        <v>32.299999999999997</v>
      </c>
      <c r="C68" s="9">
        <v>30.3</v>
      </c>
      <c r="D68" s="9">
        <v>42.4</v>
      </c>
      <c r="E68" s="9">
        <v>41.4</v>
      </c>
      <c r="F68" s="9">
        <v>58.2</v>
      </c>
      <c r="G68" s="9">
        <v>64.5</v>
      </c>
      <c r="H68" s="9">
        <v>67.3</v>
      </c>
      <c r="I68" s="9">
        <v>64.3</v>
      </c>
      <c r="J68" s="9">
        <v>58.6</v>
      </c>
      <c r="K68" s="9">
        <v>49.4</v>
      </c>
      <c r="L68" s="9">
        <v>40.4</v>
      </c>
      <c r="M68" s="9">
        <v>27.5</v>
      </c>
    </row>
    <row r="69" spans="1:13" ht="15" customHeight="1" x14ac:dyDescent="0.2">
      <c r="A69" s="1">
        <v>1975</v>
      </c>
      <c r="B69" s="9">
        <v>28.1</v>
      </c>
      <c r="C69" s="9">
        <v>33.6</v>
      </c>
      <c r="D69" s="9">
        <v>38.1</v>
      </c>
      <c r="E69" s="9">
        <v>41.1</v>
      </c>
      <c r="F69" s="9">
        <v>50.2</v>
      </c>
      <c r="G69" s="9">
        <v>60.2</v>
      </c>
      <c r="H69" s="9">
        <v>66</v>
      </c>
      <c r="I69" s="9">
        <v>64.599999999999994</v>
      </c>
      <c r="J69" s="9">
        <v>57.7</v>
      </c>
      <c r="K69" s="9">
        <v>49.1</v>
      </c>
      <c r="L69" s="9">
        <v>38.4</v>
      </c>
      <c r="M69" s="9">
        <v>31.3</v>
      </c>
    </row>
    <row r="70" spans="1:13" ht="15" customHeight="1" x14ac:dyDescent="0.2">
      <c r="A70" s="1">
        <v>1976</v>
      </c>
      <c r="B70" s="9">
        <v>30.2</v>
      </c>
      <c r="C70" s="9">
        <v>38.4</v>
      </c>
      <c r="D70" s="9">
        <v>34.299999999999997</v>
      </c>
      <c r="E70" s="9">
        <v>52.4</v>
      </c>
      <c r="F70" s="9">
        <v>52.8</v>
      </c>
      <c r="G70" s="9">
        <v>61</v>
      </c>
      <c r="H70" s="9">
        <v>65</v>
      </c>
      <c r="I70" s="9">
        <v>63.9</v>
      </c>
      <c r="J70" s="9">
        <v>57</v>
      </c>
      <c r="K70" s="9">
        <v>45.2</v>
      </c>
      <c r="L70" s="9">
        <v>37.799999999999997</v>
      </c>
      <c r="M70" s="9">
        <v>30.1</v>
      </c>
    </row>
    <row r="71" spans="1:13" ht="15" customHeight="1" x14ac:dyDescent="0.2">
      <c r="A71" s="1">
        <v>1977</v>
      </c>
      <c r="B71" s="9">
        <v>26.8</v>
      </c>
      <c r="C71" s="9">
        <v>33.5</v>
      </c>
      <c r="D71" s="9">
        <v>36.299999999999997</v>
      </c>
      <c r="E71" s="9">
        <v>45.7</v>
      </c>
      <c r="F71" s="9">
        <v>59.9</v>
      </c>
      <c r="G71" s="9">
        <v>63.7</v>
      </c>
      <c r="H71" s="9">
        <v>66.7</v>
      </c>
      <c r="I71" s="9">
        <v>66.3</v>
      </c>
      <c r="J71" s="9">
        <v>60.3</v>
      </c>
      <c r="K71" s="9">
        <v>48.9</v>
      </c>
      <c r="L71" s="9">
        <v>37.6</v>
      </c>
      <c r="M71" s="9">
        <v>35.6</v>
      </c>
    </row>
    <row r="72" spans="1:13" ht="15" customHeight="1" x14ac:dyDescent="0.2">
      <c r="A72" s="1">
        <v>1978</v>
      </c>
      <c r="B72" s="9">
        <v>29.9</v>
      </c>
      <c r="C72" s="9">
        <v>35</v>
      </c>
      <c r="D72" s="9">
        <v>38.9</v>
      </c>
      <c r="E72" s="9">
        <v>43.9</v>
      </c>
      <c r="F72" s="9">
        <v>52.7</v>
      </c>
      <c r="G72" s="9">
        <v>62</v>
      </c>
      <c r="H72" s="9">
        <v>66.8</v>
      </c>
      <c r="I72" s="9">
        <v>64.8</v>
      </c>
      <c r="J72" s="9">
        <v>58.8</v>
      </c>
      <c r="K72" s="9">
        <v>48.7</v>
      </c>
      <c r="L72" s="9">
        <v>37.700000000000003</v>
      </c>
      <c r="M72" s="9">
        <v>31.1</v>
      </c>
    </row>
    <row r="73" spans="1:13" ht="15" customHeight="1" x14ac:dyDescent="0.2">
      <c r="A73" s="1">
        <v>1979</v>
      </c>
      <c r="B73" s="9">
        <v>29.8</v>
      </c>
      <c r="C73" s="9">
        <v>31.9</v>
      </c>
      <c r="D73" s="9">
        <v>39</v>
      </c>
      <c r="E73" s="9">
        <v>46.7</v>
      </c>
      <c r="F73" s="9">
        <v>52.6</v>
      </c>
      <c r="G73" s="9">
        <v>60.2</v>
      </c>
      <c r="H73" s="9">
        <v>67.400000000000006</v>
      </c>
      <c r="I73" s="9">
        <v>63.5</v>
      </c>
      <c r="J73" s="9">
        <v>58.8</v>
      </c>
      <c r="K73" s="9">
        <v>48.7</v>
      </c>
      <c r="L73" s="9">
        <v>37.700000000000003</v>
      </c>
      <c r="M73" s="9">
        <v>31.9</v>
      </c>
    </row>
    <row r="74" spans="1:13" ht="15" customHeight="1" x14ac:dyDescent="0.2">
      <c r="A74" s="1">
        <v>1980</v>
      </c>
      <c r="B74" s="9">
        <v>31.5</v>
      </c>
      <c r="C74" s="9">
        <v>35.4</v>
      </c>
      <c r="D74" s="9">
        <v>37.200000000000003</v>
      </c>
      <c r="E74" s="9">
        <v>44.7</v>
      </c>
      <c r="F74" s="9">
        <v>51</v>
      </c>
      <c r="G74" s="9">
        <v>64.099999999999994</v>
      </c>
      <c r="H74" s="9">
        <v>69.2</v>
      </c>
      <c r="I74" s="9">
        <v>65.099999999999994</v>
      </c>
      <c r="J74" s="9">
        <v>60.4</v>
      </c>
      <c r="K74" s="9">
        <v>46.5</v>
      </c>
      <c r="L74" s="9">
        <v>37.5</v>
      </c>
      <c r="M74" s="9">
        <v>35.1</v>
      </c>
    </row>
    <row r="75" spans="1:13" ht="15" customHeight="1" x14ac:dyDescent="0.2">
      <c r="A75" s="1">
        <v>1981</v>
      </c>
      <c r="B75" s="9">
        <v>30.1</v>
      </c>
      <c r="C75" s="9">
        <v>34.9</v>
      </c>
      <c r="D75" s="9">
        <v>39.6</v>
      </c>
      <c r="E75" s="9">
        <v>49.2</v>
      </c>
      <c r="F75" s="9">
        <v>54.2</v>
      </c>
      <c r="G75" s="9">
        <v>65.7</v>
      </c>
      <c r="H75" s="9">
        <v>68.099999999999994</v>
      </c>
      <c r="I75" s="9">
        <v>64.400000000000006</v>
      </c>
      <c r="J75" s="9">
        <v>59.7</v>
      </c>
      <c r="K75" s="9">
        <v>49.8</v>
      </c>
      <c r="L75" s="9">
        <v>37.700000000000003</v>
      </c>
      <c r="M75" s="9">
        <v>33.700000000000003</v>
      </c>
    </row>
    <row r="76" spans="1:13" ht="15" customHeight="1" x14ac:dyDescent="0.2">
      <c r="A76" s="1">
        <v>1982</v>
      </c>
      <c r="B76" s="9">
        <v>31.7</v>
      </c>
      <c r="C76" s="9">
        <v>34.700000000000003</v>
      </c>
      <c r="D76" s="9">
        <v>40.200000000000003</v>
      </c>
      <c r="E76" s="9">
        <v>46.2</v>
      </c>
      <c r="F76" s="9">
        <v>51.4</v>
      </c>
      <c r="G76" s="9">
        <v>59.9</v>
      </c>
      <c r="H76" s="9">
        <v>67</v>
      </c>
      <c r="I76" s="9">
        <v>66.3</v>
      </c>
      <c r="J76" s="9">
        <v>60.5</v>
      </c>
      <c r="K76" s="9">
        <v>46.6</v>
      </c>
      <c r="L76" s="9">
        <v>39.4</v>
      </c>
      <c r="M76" s="9">
        <v>31</v>
      </c>
    </row>
    <row r="77" spans="1:13" ht="15" customHeight="1" x14ac:dyDescent="0.2">
      <c r="A77" s="1">
        <v>1983</v>
      </c>
      <c r="B77" s="9">
        <v>32.4</v>
      </c>
      <c r="C77" s="9">
        <v>34.700000000000003</v>
      </c>
      <c r="D77" s="9">
        <v>39.9</v>
      </c>
      <c r="E77" s="9">
        <v>41.9</v>
      </c>
      <c r="F77" s="9">
        <v>52.2</v>
      </c>
      <c r="G77" s="9">
        <v>59.3</v>
      </c>
      <c r="H77" s="9">
        <v>67.2</v>
      </c>
      <c r="I77" s="9">
        <v>66.900000000000006</v>
      </c>
      <c r="J77" s="9">
        <v>63.4</v>
      </c>
      <c r="K77" s="9">
        <v>50.9</v>
      </c>
      <c r="L77" s="9">
        <v>39.1</v>
      </c>
      <c r="M77" s="9">
        <v>34.799999999999997</v>
      </c>
    </row>
    <row r="78" spans="1:13" ht="15" customHeight="1" x14ac:dyDescent="0.2">
      <c r="A78" s="1">
        <v>1984</v>
      </c>
      <c r="B78" s="9">
        <v>32.799999999999997</v>
      </c>
      <c r="C78" s="9">
        <v>32.799999999999997</v>
      </c>
      <c r="D78" s="9">
        <v>39.5</v>
      </c>
      <c r="E78" s="9">
        <v>44.4</v>
      </c>
      <c r="F78" s="9">
        <v>58</v>
      </c>
      <c r="G78" s="9">
        <v>62.5</v>
      </c>
      <c r="H78" s="9">
        <v>66.599999999999994</v>
      </c>
      <c r="I78" s="9">
        <v>64.900000000000006</v>
      </c>
      <c r="J78" s="9">
        <v>59.5</v>
      </c>
      <c r="K78" s="9">
        <v>46.3</v>
      </c>
      <c r="L78" s="9">
        <v>38.1</v>
      </c>
      <c r="M78" s="9">
        <v>31.8</v>
      </c>
    </row>
    <row r="79" spans="1:13" ht="15" customHeight="1" x14ac:dyDescent="0.2">
      <c r="A79" s="1">
        <v>1985</v>
      </c>
      <c r="B79" s="9">
        <v>31.5</v>
      </c>
      <c r="C79" s="9">
        <v>32.9</v>
      </c>
      <c r="D79" s="9">
        <v>40.799999999999997</v>
      </c>
      <c r="E79" s="9">
        <v>48.2</v>
      </c>
      <c r="F79" s="9">
        <v>54.9</v>
      </c>
      <c r="G79" s="9">
        <v>63.9</v>
      </c>
      <c r="H79" s="9">
        <v>68.5</v>
      </c>
      <c r="I79" s="9">
        <v>65.599999999999994</v>
      </c>
      <c r="J79" s="9">
        <v>57.9</v>
      </c>
      <c r="K79" s="9">
        <v>49.1</v>
      </c>
      <c r="L79" s="9">
        <v>39.9</v>
      </c>
      <c r="M79" s="9">
        <v>31.3</v>
      </c>
    </row>
    <row r="80" spans="1:13" ht="15" customHeight="1" x14ac:dyDescent="0.2">
      <c r="A80" s="1">
        <v>1986</v>
      </c>
      <c r="B80" s="9">
        <v>35.4</v>
      </c>
      <c r="C80" s="9">
        <v>35.700000000000003</v>
      </c>
      <c r="D80" s="9">
        <v>42.1</v>
      </c>
      <c r="E80" s="9">
        <v>47.9</v>
      </c>
      <c r="F80" s="9">
        <v>54.6</v>
      </c>
      <c r="G80" s="9">
        <v>63</v>
      </c>
      <c r="H80" s="9">
        <v>64.8</v>
      </c>
      <c r="I80" s="9">
        <v>67.099999999999994</v>
      </c>
      <c r="J80" s="9">
        <v>57</v>
      </c>
      <c r="K80" s="9">
        <v>47.6</v>
      </c>
      <c r="L80" s="9">
        <v>39.700000000000003</v>
      </c>
      <c r="M80" s="9">
        <v>30.6</v>
      </c>
    </row>
    <row r="81" spans="1:13" ht="15" customHeight="1" x14ac:dyDescent="0.2">
      <c r="A81" s="1">
        <v>1987</v>
      </c>
      <c r="B81" s="9">
        <v>27.6</v>
      </c>
      <c r="C81" s="9">
        <v>33.299999999999997</v>
      </c>
      <c r="D81" s="9">
        <v>36.5</v>
      </c>
      <c r="E81" s="9">
        <v>46.7</v>
      </c>
      <c r="F81" s="9">
        <v>52.1</v>
      </c>
      <c r="G81" s="9">
        <v>62</v>
      </c>
      <c r="H81" s="9">
        <v>65.7</v>
      </c>
      <c r="I81" s="9">
        <v>64.400000000000006</v>
      </c>
      <c r="J81" s="9">
        <v>59.8</v>
      </c>
      <c r="K81" s="9">
        <v>51.7</v>
      </c>
      <c r="L81" s="9">
        <v>36.799999999999997</v>
      </c>
      <c r="M81" s="9">
        <v>28.5</v>
      </c>
    </row>
    <row r="82" spans="1:13" ht="15" customHeight="1" x14ac:dyDescent="0.2">
      <c r="A82" s="1">
        <v>1988</v>
      </c>
      <c r="B82" s="9">
        <v>26.4</v>
      </c>
      <c r="C82" s="9">
        <v>36.799999999999997</v>
      </c>
      <c r="D82" s="9">
        <v>40.700000000000003</v>
      </c>
      <c r="E82" s="9">
        <v>46.2</v>
      </c>
      <c r="F82" s="9">
        <v>54.7</v>
      </c>
      <c r="G82" s="9">
        <v>63.4</v>
      </c>
      <c r="H82" s="9">
        <v>67</v>
      </c>
      <c r="I82" s="9">
        <v>65.3</v>
      </c>
      <c r="J82" s="9">
        <v>56.2</v>
      </c>
      <c r="K82" s="9">
        <v>51.8</v>
      </c>
      <c r="L82" s="9">
        <v>38.9</v>
      </c>
      <c r="M82" s="9">
        <v>31.5</v>
      </c>
    </row>
    <row r="83" spans="1:13" ht="15" customHeight="1" x14ac:dyDescent="0.2">
      <c r="A83" s="1">
        <v>1989</v>
      </c>
      <c r="B83" s="9">
        <v>30.2</v>
      </c>
      <c r="C83" s="9">
        <v>40.5</v>
      </c>
      <c r="D83" s="9">
        <v>43.1</v>
      </c>
      <c r="E83" s="9">
        <v>51.2</v>
      </c>
      <c r="F83" s="9">
        <v>56.7</v>
      </c>
      <c r="G83" s="9">
        <v>62.5</v>
      </c>
      <c r="H83" s="9">
        <v>68.599999999999994</v>
      </c>
      <c r="I83" s="9">
        <v>66.599999999999994</v>
      </c>
      <c r="J83" s="9">
        <v>59.9</v>
      </c>
      <c r="K83" s="9">
        <v>48</v>
      </c>
      <c r="L83" s="9">
        <v>38.700000000000003</v>
      </c>
      <c r="M83" s="9">
        <v>30.5</v>
      </c>
    </row>
    <row r="84" spans="1:13" ht="15" customHeight="1" x14ac:dyDescent="0.2">
      <c r="A84" s="1">
        <v>1990</v>
      </c>
      <c r="B84" s="9">
        <v>30.2</v>
      </c>
      <c r="C84" s="9">
        <v>31.8</v>
      </c>
      <c r="D84" s="9">
        <v>41.1</v>
      </c>
      <c r="E84" s="9">
        <v>48.3</v>
      </c>
      <c r="F84" s="9">
        <v>53.4</v>
      </c>
      <c r="G84" s="9">
        <v>67.5</v>
      </c>
      <c r="H84" s="9">
        <v>67.2</v>
      </c>
      <c r="I84" s="9">
        <v>63.7</v>
      </c>
      <c r="J84" s="9">
        <v>61.7</v>
      </c>
      <c r="K84" s="9">
        <v>48</v>
      </c>
      <c r="L84" s="9">
        <v>39.4</v>
      </c>
      <c r="M84" s="9">
        <v>29.4</v>
      </c>
    </row>
    <row r="85" spans="1:13" ht="15" customHeight="1" x14ac:dyDescent="0.2">
      <c r="A85" s="1">
        <v>1991</v>
      </c>
      <c r="B85" s="9">
        <v>33.6</v>
      </c>
      <c r="C85" s="9">
        <v>38</v>
      </c>
      <c r="D85" s="9">
        <v>36.4</v>
      </c>
      <c r="E85" s="9">
        <v>44.2</v>
      </c>
      <c r="F85" s="9">
        <v>52.6</v>
      </c>
      <c r="G85" s="9">
        <v>58.6</v>
      </c>
      <c r="H85" s="9">
        <v>66.099999999999994</v>
      </c>
      <c r="I85" s="9">
        <v>64.8</v>
      </c>
      <c r="J85" s="9">
        <v>58.7</v>
      </c>
      <c r="K85" s="9">
        <v>49.7</v>
      </c>
      <c r="L85" s="9">
        <v>37.9</v>
      </c>
      <c r="M85" s="9">
        <v>30.2</v>
      </c>
    </row>
    <row r="86" spans="1:13" ht="15" customHeight="1" x14ac:dyDescent="0.2">
      <c r="A86" s="1">
        <v>1992</v>
      </c>
      <c r="B86" s="9">
        <v>33.6</v>
      </c>
      <c r="C86" s="9">
        <v>35.200000000000003</v>
      </c>
      <c r="D86" s="9">
        <v>40.5</v>
      </c>
      <c r="E86" s="9">
        <v>48.1</v>
      </c>
      <c r="F86" s="9">
        <v>54.1</v>
      </c>
      <c r="G86" s="9">
        <v>59.5</v>
      </c>
      <c r="H86" s="9">
        <v>65.5</v>
      </c>
      <c r="I86" s="9">
        <v>64.400000000000006</v>
      </c>
      <c r="J86" s="9">
        <v>59.2</v>
      </c>
      <c r="K86" s="9">
        <v>50.4</v>
      </c>
      <c r="L86" s="9">
        <v>31.5</v>
      </c>
      <c r="M86" s="9">
        <v>27.3</v>
      </c>
    </row>
    <row r="87" spans="1:13" ht="15" customHeight="1" x14ac:dyDescent="0.2">
      <c r="A87" s="1">
        <v>1993</v>
      </c>
      <c r="B87" s="9">
        <v>33.6</v>
      </c>
      <c r="C87" s="9">
        <v>33.9</v>
      </c>
      <c r="D87" s="9">
        <v>33.9</v>
      </c>
      <c r="E87" s="9">
        <v>44.8</v>
      </c>
      <c r="F87" s="9">
        <v>53.2</v>
      </c>
      <c r="G87" s="9">
        <v>60.5</v>
      </c>
      <c r="H87" s="9">
        <v>66.7</v>
      </c>
      <c r="I87" s="9">
        <v>65.7</v>
      </c>
      <c r="J87" s="9">
        <v>57</v>
      </c>
      <c r="K87" s="9">
        <v>48.1</v>
      </c>
      <c r="L87" s="9">
        <v>41.2</v>
      </c>
      <c r="M87" s="9">
        <v>30.9</v>
      </c>
    </row>
    <row r="88" spans="1:13" ht="15" customHeight="1" x14ac:dyDescent="0.2">
      <c r="A88" s="1">
        <v>1994</v>
      </c>
      <c r="B88" s="9">
        <v>30.1</v>
      </c>
      <c r="C88" s="9">
        <v>37.1</v>
      </c>
      <c r="D88" s="9">
        <v>40.6</v>
      </c>
      <c r="E88" s="9">
        <v>44.8</v>
      </c>
      <c r="F88" s="9">
        <v>53.7</v>
      </c>
      <c r="G88" s="9">
        <v>66.7</v>
      </c>
      <c r="H88" s="9">
        <v>67.900000000000006</v>
      </c>
      <c r="I88" s="9">
        <v>67.3</v>
      </c>
      <c r="J88" s="9">
        <v>59</v>
      </c>
      <c r="K88" s="9">
        <v>45.7</v>
      </c>
      <c r="L88" s="9">
        <v>38</v>
      </c>
      <c r="M88" s="9">
        <v>34.299999999999997</v>
      </c>
    </row>
    <row r="89" spans="1:13" ht="15" customHeight="1" x14ac:dyDescent="0.2">
      <c r="A89" s="1">
        <v>1995</v>
      </c>
      <c r="B89" s="9">
        <v>28.5</v>
      </c>
      <c r="C89" s="9">
        <v>38.799999999999997</v>
      </c>
      <c r="D89" s="9">
        <v>40.200000000000003</v>
      </c>
      <c r="E89" s="9">
        <v>42.7</v>
      </c>
      <c r="F89" s="9">
        <v>50</v>
      </c>
      <c r="G89" s="9">
        <v>58.9</v>
      </c>
      <c r="H89" s="9">
        <v>64.599999999999994</v>
      </c>
      <c r="I89" s="9">
        <v>67.3</v>
      </c>
      <c r="J89" s="9">
        <v>59.2</v>
      </c>
      <c r="K89" s="9">
        <v>48.7</v>
      </c>
      <c r="L89" s="9">
        <v>41.2</v>
      </c>
      <c r="M89" s="9">
        <v>31.4</v>
      </c>
    </row>
    <row r="90" spans="1:13" ht="15" customHeight="1" x14ac:dyDescent="0.2">
      <c r="A90" s="1">
        <v>1996</v>
      </c>
      <c r="B90" s="9">
        <v>30.5</v>
      </c>
      <c r="C90" s="9">
        <v>34.6</v>
      </c>
      <c r="D90" s="9">
        <v>39.799999999999997</v>
      </c>
      <c r="E90" s="9">
        <v>46.2</v>
      </c>
      <c r="F90" s="9">
        <v>58.3</v>
      </c>
      <c r="G90" s="9">
        <v>62.2</v>
      </c>
      <c r="H90" s="9">
        <v>68.5</v>
      </c>
      <c r="I90" s="9">
        <v>65.2</v>
      </c>
      <c r="J90" s="9">
        <v>59.2</v>
      </c>
      <c r="K90" s="9">
        <v>48.3</v>
      </c>
      <c r="L90" s="9">
        <v>38.1</v>
      </c>
      <c r="M90" s="9">
        <v>31.4</v>
      </c>
    </row>
    <row r="91" spans="1:13" ht="15" customHeight="1" x14ac:dyDescent="0.2">
      <c r="A91" s="1">
        <v>1997</v>
      </c>
      <c r="B91" s="9">
        <v>30.5</v>
      </c>
      <c r="C91" s="9">
        <v>34.6</v>
      </c>
      <c r="D91" s="9">
        <v>39.799999999999997</v>
      </c>
      <c r="E91" s="9">
        <v>44.1</v>
      </c>
      <c r="F91" s="9">
        <v>55.9</v>
      </c>
      <c r="G91" s="9">
        <v>61.1</v>
      </c>
      <c r="H91" s="9">
        <v>66.900000000000006</v>
      </c>
      <c r="I91" s="9">
        <v>65.2</v>
      </c>
      <c r="J91" s="9">
        <v>59.2</v>
      </c>
      <c r="K91" s="9">
        <v>48.7</v>
      </c>
      <c r="L91" s="9">
        <v>38.1</v>
      </c>
      <c r="M91" s="9">
        <v>31.4</v>
      </c>
    </row>
    <row r="92" spans="1:13" ht="15" customHeight="1" x14ac:dyDescent="0.2">
      <c r="A92" s="1">
        <v>1998</v>
      </c>
      <c r="B92" s="9">
        <v>30.5</v>
      </c>
      <c r="C92" s="9">
        <v>34.6</v>
      </c>
      <c r="D92" s="9">
        <v>39.299999999999997</v>
      </c>
      <c r="E92" s="9">
        <v>44.8</v>
      </c>
      <c r="F92" s="9">
        <v>52.8</v>
      </c>
      <c r="G92" s="9">
        <v>59.6</v>
      </c>
      <c r="H92" s="9">
        <v>66.8</v>
      </c>
      <c r="I92" s="9">
        <v>65.2</v>
      </c>
      <c r="J92" s="9">
        <v>59.2</v>
      </c>
      <c r="K92" s="9">
        <v>48.7</v>
      </c>
      <c r="L92" s="9">
        <v>38.1</v>
      </c>
      <c r="M92" s="9">
        <v>31.4</v>
      </c>
    </row>
    <row r="93" spans="1:13" ht="15" customHeight="1" x14ac:dyDescent="0.2">
      <c r="A93" s="1">
        <v>1999</v>
      </c>
      <c r="B93" s="9">
        <v>29.5</v>
      </c>
      <c r="C93" s="9">
        <v>38</v>
      </c>
      <c r="D93" s="9">
        <v>41.7</v>
      </c>
      <c r="E93" s="9">
        <v>44.8</v>
      </c>
      <c r="F93" s="9">
        <v>52.6</v>
      </c>
      <c r="G93" s="9">
        <v>61.7</v>
      </c>
      <c r="H93" s="9">
        <v>66.8</v>
      </c>
      <c r="I93" s="9">
        <v>64.8</v>
      </c>
      <c r="J93" s="9">
        <v>58.7</v>
      </c>
      <c r="K93" s="9">
        <v>49.7</v>
      </c>
      <c r="L93" s="9">
        <v>37.9</v>
      </c>
      <c r="M93" s="9">
        <v>30.2</v>
      </c>
    </row>
    <row r="94" spans="1:13" ht="15" customHeight="1" x14ac:dyDescent="0.2">
      <c r="A94" s="1">
        <v>2000</v>
      </c>
      <c r="B94" s="9">
        <v>29.5</v>
      </c>
      <c r="C94" s="9">
        <v>38</v>
      </c>
      <c r="D94" s="9">
        <v>41.7</v>
      </c>
      <c r="E94" s="9">
        <v>44.8</v>
      </c>
      <c r="F94" s="9">
        <v>45.6</v>
      </c>
      <c r="G94" s="9">
        <v>53.4</v>
      </c>
      <c r="H94" s="9">
        <v>62</v>
      </c>
      <c r="I94" s="9">
        <v>66.900000000000006</v>
      </c>
      <c r="J94" s="9">
        <v>64.900000000000006</v>
      </c>
      <c r="K94" s="9">
        <v>58.9</v>
      </c>
      <c r="L94" s="9">
        <v>49</v>
      </c>
      <c r="M94" s="9">
        <v>33.700000000000003</v>
      </c>
    </row>
    <row r="95" spans="1:13" ht="15" customHeight="1" x14ac:dyDescent="0.2">
      <c r="A95" s="1">
        <v>2001</v>
      </c>
      <c r="B95" s="9">
        <v>34.1</v>
      </c>
      <c r="C95" s="9">
        <v>33.9</v>
      </c>
      <c r="D95" s="9">
        <v>44</v>
      </c>
      <c r="E95" s="9">
        <v>46.4</v>
      </c>
      <c r="F95" s="9">
        <v>56.4</v>
      </c>
      <c r="G95" s="9">
        <v>65.7</v>
      </c>
      <c r="H95" s="9">
        <v>68.3</v>
      </c>
      <c r="I95" s="9">
        <v>68.900000000000006</v>
      </c>
      <c r="J95" s="9">
        <v>62.8</v>
      </c>
      <c r="K95" s="9">
        <v>52.6</v>
      </c>
      <c r="L95" s="9">
        <v>42</v>
      </c>
      <c r="M95" s="9">
        <v>33.4</v>
      </c>
    </row>
    <row r="96" spans="1:13" ht="15" customHeight="1" x14ac:dyDescent="0.2">
      <c r="A96" s="1">
        <v>2002</v>
      </c>
      <c r="B96" s="9">
        <v>32.1</v>
      </c>
      <c r="C96" s="9">
        <v>35</v>
      </c>
      <c r="D96" s="9">
        <v>40.200000000000003</v>
      </c>
      <c r="E96" s="9">
        <v>51.3</v>
      </c>
      <c r="F96" s="9">
        <v>53.7</v>
      </c>
      <c r="G96" s="9">
        <v>65</v>
      </c>
      <c r="H96" s="9">
        <v>66.900000000000006</v>
      </c>
      <c r="I96" s="9">
        <v>64</v>
      </c>
      <c r="J96" s="9">
        <v>62.2</v>
      </c>
      <c r="K96" s="9">
        <v>47.9</v>
      </c>
      <c r="L96" s="9">
        <v>39.200000000000003</v>
      </c>
      <c r="M96" s="9">
        <v>36.799999999999997</v>
      </c>
    </row>
    <row r="97" spans="1:13" ht="15" customHeight="1" x14ac:dyDescent="0.2">
      <c r="A97" s="1">
        <v>2003</v>
      </c>
      <c r="B97" s="9">
        <v>37.6</v>
      </c>
      <c r="C97" s="9">
        <v>35</v>
      </c>
      <c r="D97" s="9">
        <v>37.4</v>
      </c>
      <c r="E97" s="9">
        <v>43.5</v>
      </c>
      <c r="F97" s="9">
        <v>53.7</v>
      </c>
      <c r="G97" s="9">
        <v>58.5</v>
      </c>
      <c r="H97" s="9">
        <v>69.3</v>
      </c>
      <c r="I97" s="9">
        <v>64.900000000000006</v>
      </c>
      <c r="J97" s="9">
        <v>59.9</v>
      </c>
      <c r="K97" s="9">
        <v>52</v>
      </c>
      <c r="L97" s="9">
        <v>39.700000000000003</v>
      </c>
      <c r="M97" s="9">
        <v>31.8</v>
      </c>
    </row>
    <row r="98" spans="1:13" ht="15" customHeight="1" x14ac:dyDescent="0.2">
      <c r="A98" s="1">
        <v>2004</v>
      </c>
      <c r="B98" s="9">
        <v>33.700000000000003</v>
      </c>
      <c r="C98" s="9">
        <v>30.1</v>
      </c>
      <c r="D98" s="9">
        <v>42.9</v>
      </c>
      <c r="E98" s="9">
        <v>44.3</v>
      </c>
      <c r="F98" s="9">
        <v>53.5</v>
      </c>
      <c r="G98" s="9">
        <v>61.9</v>
      </c>
      <c r="H98" s="9">
        <v>66.7</v>
      </c>
      <c r="I98" s="9">
        <v>63.1</v>
      </c>
      <c r="J98" s="9">
        <v>56.1</v>
      </c>
      <c r="K98" s="9">
        <v>47</v>
      </c>
      <c r="L98" s="9">
        <v>36.9</v>
      </c>
      <c r="M98" s="9">
        <v>31.7</v>
      </c>
    </row>
    <row r="99" spans="1:13" ht="15" customHeight="1" x14ac:dyDescent="0.2">
      <c r="A99" s="1">
        <v>2005</v>
      </c>
      <c r="B99" s="9">
        <v>34.4</v>
      </c>
      <c r="C99" s="9">
        <v>35.700000000000003</v>
      </c>
      <c r="D99" s="9">
        <v>37.700000000000003</v>
      </c>
      <c r="E99" s="9">
        <v>44.7</v>
      </c>
      <c r="F99" s="9">
        <v>55.8</v>
      </c>
      <c r="G99" s="9">
        <v>62.1</v>
      </c>
      <c r="H99" s="9">
        <v>68.400000000000006</v>
      </c>
      <c r="I99" s="9">
        <v>62.8</v>
      </c>
      <c r="J99" s="9">
        <v>60.3</v>
      </c>
      <c r="K99" s="9">
        <v>48.5</v>
      </c>
      <c r="L99" s="9">
        <v>37</v>
      </c>
      <c r="M99" s="9">
        <v>38.630000000000003</v>
      </c>
    </row>
    <row r="100" spans="1:13" ht="15" customHeight="1" x14ac:dyDescent="0.2">
      <c r="A100" s="1">
        <v>2006</v>
      </c>
      <c r="B100" s="9">
        <v>34.6</v>
      </c>
      <c r="C100" s="9">
        <v>42.2</v>
      </c>
      <c r="D100" s="9">
        <v>39.4</v>
      </c>
      <c r="E100" s="9">
        <v>48.5</v>
      </c>
      <c r="F100" s="9">
        <v>57.3</v>
      </c>
      <c r="G100" s="9">
        <v>66.5</v>
      </c>
      <c r="H100" s="9">
        <v>68.3</v>
      </c>
      <c r="I100" s="9">
        <v>62.2</v>
      </c>
      <c r="J100" s="9">
        <v>54</v>
      </c>
      <c r="K100" s="9">
        <v>47.9</v>
      </c>
      <c r="L100" s="9">
        <v>37.4</v>
      </c>
      <c r="M100" s="9">
        <v>27.2</v>
      </c>
    </row>
    <row r="101" spans="1:13" ht="15" customHeight="1" x14ac:dyDescent="0.2">
      <c r="A101" s="1">
        <v>2007</v>
      </c>
      <c r="B101" s="9">
        <v>25.1</v>
      </c>
      <c r="C101" s="9">
        <v>37.1</v>
      </c>
      <c r="D101" s="9">
        <v>40.5</v>
      </c>
      <c r="E101" s="9">
        <v>47.7</v>
      </c>
      <c r="F101" s="9">
        <v>54.6</v>
      </c>
      <c r="G101" s="9">
        <v>64.3</v>
      </c>
      <c r="H101" s="9">
        <v>69.8</v>
      </c>
      <c r="I101" s="9">
        <v>74.099999999999994</v>
      </c>
      <c r="J101" s="9">
        <v>57.4</v>
      </c>
      <c r="K101" s="9">
        <v>51</v>
      </c>
      <c r="L101" s="9">
        <v>45.1</v>
      </c>
      <c r="M101" s="9">
        <v>33</v>
      </c>
    </row>
    <row r="102" spans="1:13" ht="15" customHeight="1" x14ac:dyDescent="0.2">
      <c r="A102" s="1">
        <v>2008</v>
      </c>
      <c r="B102" s="9">
        <v>32.47</v>
      </c>
      <c r="C102" s="9">
        <v>36.93</v>
      </c>
      <c r="D102" s="9">
        <v>39.700000000000003</v>
      </c>
      <c r="E102" s="9">
        <v>44.9</v>
      </c>
      <c r="F102" s="9">
        <v>51.2</v>
      </c>
      <c r="G102" s="9">
        <v>63.9</v>
      </c>
      <c r="H102" s="9">
        <v>66.400000000000006</v>
      </c>
      <c r="I102" s="9">
        <v>65.7</v>
      </c>
      <c r="J102" s="9">
        <v>58</v>
      </c>
      <c r="K102" s="9">
        <v>48.5</v>
      </c>
      <c r="L102" s="9">
        <v>41.1</v>
      </c>
      <c r="M102" s="9">
        <v>36.4</v>
      </c>
    </row>
    <row r="103" spans="1:13" ht="15" customHeight="1" x14ac:dyDescent="0.2">
      <c r="A103" s="1">
        <v>2009</v>
      </c>
      <c r="B103" s="9">
        <v>40.4</v>
      </c>
      <c r="C103" s="9">
        <v>41.1</v>
      </c>
      <c r="D103" s="9">
        <v>46.7</v>
      </c>
      <c r="E103" s="9">
        <v>48.8</v>
      </c>
      <c r="F103" s="9">
        <v>61.7</v>
      </c>
      <c r="G103" s="9">
        <v>63.7</v>
      </c>
      <c r="H103" s="9">
        <v>67.400000000000006</v>
      </c>
      <c r="I103" s="9">
        <v>68.099999999999994</v>
      </c>
      <c r="J103" s="9">
        <v>60.9</v>
      </c>
      <c r="K103" s="9">
        <v>47.9</v>
      </c>
      <c r="L103" s="9">
        <v>46.3</v>
      </c>
      <c r="M103" s="9">
        <v>32.700000000000003</v>
      </c>
    </row>
    <row r="104" spans="1:13" ht="15" customHeight="1" x14ac:dyDescent="0.2">
      <c r="A104" s="1">
        <v>2010</v>
      </c>
      <c r="B104" s="9">
        <v>34.700000000000003</v>
      </c>
      <c r="C104" s="9">
        <v>36</v>
      </c>
      <c r="D104" s="9">
        <v>42.4</v>
      </c>
      <c r="E104" s="9">
        <v>50</v>
      </c>
      <c r="F104" s="9">
        <v>50.3</v>
      </c>
      <c r="G104" s="9">
        <v>66.5</v>
      </c>
      <c r="H104" s="9">
        <v>71.099999999999994</v>
      </c>
      <c r="I104" s="9">
        <v>73.3</v>
      </c>
      <c r="J104" s="9">
        <v>67.3</v>
      </c>
      <c r="K104" s="9">
        <v>56.8</v>
      </c>
      <c r="L104" s="9">
        <v>41.3</v>
      </c>
      <c r="M104" s="9">
        <v>37.9</v>
      </c>
    </row>
    <row r="105" spans="1:13" ht="15" customHeight="1" x14ac:dyDescent="0.2">
      <c r="A105" s="1">
        <v>2011</v>
      </c>
      <c r="B105" s="9">
        <v>30.3</v>
      </c>
      <c r="C105" s="9">
        <v>32.4</v>
      </c>
      <c r="D105" s="9">
        <v>43</v>
      </c>
      <c r="E105" s="9">
        <v>48.6</v>
      </c>
      <c r="F105" s="9">
        <v>50.4</v>
      </c>
      <c r="G105" s="9">
        <v>61</v>
      </c>
      <c r="H105" s="9">
        <v>67.599999999999994</v>
      </c>
      <c r="I105" s="9">
        <v>67.599999999999994</v>
      </c>
      <c r="J105" s="9">
        <v>59.1</v>
      </c>
      <c r="K105" s="9">
        <v>48.7</v>
      </c>
      <c r="L105" s="9">
        <v>38.6</v>
      </c>
      <c r="M105" s="9">
        <v>28.9</v>
      </c>
    </row>
    <row r="106" spans="1:13" ht="15" customHeight="1" x14ac:dyDescent="0.2">
      <c r="A106" s="1">
        <v>2012</v>
      </c>
      <c r="B106" s="9">
        <v>35.299999999999997</v>
      </c>
      <c r="C106" s="9">
        <v>35.200000000000003</v>
      </c>
      <c r="D106" s="9">
        <v>39.4</v>
      </c>
      <c r="E106" s="9">
        <v>47.5</v>
      </c>
      <c r="F106" s="9">
        <v>53.8</v>
      </c>
      <c r="G106" s="9">
        <v>63.5</v>
      </c>
      <c r="H106" s="9">
        <v>67.8</v>
      </c>
      <c r="I106" s="9">
        <v>65.900000000000006</v>
      </c>
      <c r="J106" s="9">
        <v>58.7</v>
      </c>
      <c r="K106" s="9">
        <v>49.5</v>
      </c>
      <c r="L106" s="9">
        <v>40.799999999999997</v>
      </c>
      <c r="M106" s="9">
        <v>32</v>
      </c>
    </row>
    <row r="107" spans="1:13" ht="15" customHeight="1" x14ac:dyDescent="0.2">
      <c r="A107" s="1">
        <v>2013</v>
      </c>
      <c r="B107" s="9">
        <v>27.2</v>
      </c>
      <c r="C107" s="9">
        <v>31.2</v>
      </c>
      <c r="D107" s="9">
        <v>41.6</v>
      </c>
      <c r="E107" s="9">
        <v>46.8</v>
      </c>
      <c r="F107" s="9">
        <v>52.5</v>
      </c>
      <c r="G107" s="9">
        <v>63.6</v>
      </c>
      <c r="H107" s="9">
        <v>67.400000000000006</v>
      </c>
      <c r="I107" s="9">
        <v>64.599999999999994</v>
      </c>
      <c r="J107" s="9">
        <v>59.4</v>
      </c>
      <c r="K107" s="9">
        <v>45.5</v>
      </c>
      <c r="L107" s="9">
        <v>39.700000000000003</v>
      </c>
      <c r="M107" s="9">
        <v>33.4</v>
      </c>
    </row>
    <row r="108" spans="1:13" ht="15" customHeight="1" x14ac:dyDescent="0.2">
      <c r="A108" s="1">
        <v>2014</v>
      </c>
      <c r="B108" s="9">
        <v>34.799999999999997</v>
      </c>
      <c r="C108" s="9">
        <v>39.299999999999997</v>
      </c>
      <c r="D108" s="9">
        <v>41</v>
      </c>
      <c r="E108" s="9">
        <v>45.2</v>
      </c>
      <c r="F108" s="9">
        <v>50.7</v>
      </c>
      <c r="G108" s="9">
        <v>61.5</v>
      </c>
      <c r="H108" s="9">
        <v>67</v>
      </c>
      <c r="I108" s="9">
        <v>62.6</v>
      </c>
      <c r="J108" s="9">
        <v>62.1</v>
      </c>
      <c r="K108" s="9">
        <v>51.1</v>
      </c>
      <c r="L108" s="9">
        <v>39.799999999999997</v>
      </c>
      <c r="M108" s="9">
        <v>35.200000000000003</v>
      </c>
    </row>
    <row r="109" spans="1:13" ht="15" customHeight="1" x14ac:dyDescent="0.2">
      <c r="A109" s="1">
        <v>2015</v>
      </c>
      <c r="B109" s="9">
        <v>35.299999999999997</v>
      </c>
      <c r="C109" s="9">
        <v>40.5</v>
      </c>
      <c r="D109" s="9">
        <v>43.1</v>
      </c>
      <c r="E109" s="9">
        <v>44.8</v>
      </c>
      <c r="F109" s="9">
        <v>56.3</v>
      </c>
      <c r="G109" s="9">
        <v>65.099999999999994</v>
      </c>
      <c r="H109" s="9">
        <v>70.900000000000006</v>
      </c>
      <c r="I109" s="9">
        <v>72.400000000000006</v>
      </c>
      <c r="J109" s="9">
        <v>68.599999999999994</v>
      </c>
      <c r="K109" s="9">
        <v>56</v>
      </c>
      <c r="L109" s="9">
        <v>42.4</v>
      </c>
      <c r="M109" s="9">
        <v>34.700000000000003</v>
      </c>
    </row>
    <row r="110" spans="1:13" ht="15" customHeight="1" x14ac:dyDescent="0.2">
      <c r="A110" s="1">
        <v>2016</v>
      </c>
      <c r="B110" s="9">
        <v>35.1</v>
      </c>
      <c r="C110" s="9">
        <v>41.1</v>
      </c>
      <c r="D110" s="9">
        <f>51.4-6</f>
        <v>45.4</v>
      </c>
      <c r="E110" s="9">
        <f>55-6</f>
        <v>49</v>
      </c>
      <c r="F110" s="9">
        <f>61.1-6</f>
        <v>55.1</v>
      </c>
      <c r="G110" s="9">
        <f>72.9-6</f>
        <v>66.900000000000006</v>
      </c>
      <c r="H110" s="9">
        <v>72.900000000000006</v>
      </c>
      <c r="I110" s="9">
        <f>71-5</f>
        <v>66</v>
      </c>
      <c r="J110" s="9">
        <f>67.3-5</f>
        <v>62.3</v>
      </c>
      <c r="K110" s="9">
        <f>60.2-6</f>
        <v>54.2</v>
      </c>
      <c r="L110" s="9">
        <f>49.4-6</f>
        <v>43.4</v>
      </c>
      <c r="M110" s="9">
        <f>44-6</f>
        <v>38</v>
      </c>
    </row>
    <row r="111" spans="1:13" ht="15" customHeight="1" x14ac:dyDescent="0.2">
      <c r="A111" s="1">
        <v>2017</v>
      </c>
      <c r="B111" s="9">
        <f>41-6</f>
        <v>35</v>
      </c>
      <c r="C111" s="9">
        <f>45.7-6</f>
        <v>39.700000000000003</v>
      </c>
      <c r="D111" s="9">
        <f>49-6</f>
        <v>43</v>
      </c>
      <c r="E111" s="9">
        <v>50</v>
      </c>
      <c r="F111" s="9">
        <v>56.1</v>
      </c>
      <c r="G111" s="9">
        <f>72.5-6</f>
        <v>66.5</v>
      </c>
      <c r="H111" s="9">
        <f>74.8-5</f>
        <v>69.8</v>
      </c>
      <c r="I111" s="9">
        <f>71.7-5</f>
        <v>66.7</v>
      </c>
      <c r="J111" s="9">
        <f>66.8-5</f>
        <v>61.8</v>
      </c>
      <c r="K111" s="9">
        <f>60.5-6</f>
        <v>54.5</v>
      </c>
      <c r="L111" s="9">
        <f>53.8-6</f>
        <v>47.8</v>
      </c>
      <c r="M111" s="9">
        <f>42.3-6</f>
        <v>36.299999999999997</v>
      </c>
    </row>
    <row r="112" spans="1:13" ht="15" customHeight="1" x14ac:dyDescent="0.2">
      <c r="A112" s="1">
        <v>2018</v>
      </c>
      <c r="B112" s="9">
        <v>37</v>
      </c>
      <c r="C112" s="9">
        <v>39.799999999999997</v>
      </c>
      <c r="D112" s="9">
        <v>45.7</v>
      </c>
      <c r="E112" s="9">
        <v>53.1</v>
      </c>
      <c r="F112" s="9">
        <v>61.5</v>
      </c>
      <c r="G112" s="9">
        <v>76.3</v>
      </c>
      <c r="H112" s="9">
        <v>75.8</v>
      </c>
      <c r="I112" s="9">
        <v>72.599999999999994</v>
      </c>
      <c r="J112" s="9">
        <v>68</v>
      </c>
      <c r="K112" s="9">
        <v>50.7</v>
      </c>
      <c r="L112" s="9">
        <v>40.200000000000003</v>
      </c>
      <c r="M112" s="9">
        <v>36.200000000000003</v>
      </c>
    </row>
    <row r="113" spans="1:14" ht="15" customHeight="1" x14ac:dyDescent="0.2">
      <c r="A113" s="1">
        <v>2019</v>
      </c>
      <c r="B113" s="9">
        <v>36.299999999999997</v>
      </c>
      <c r="C113" s="9">
        <v>34.5</v>
      </c>
      <c r="D113" s="9">
        <v>43.3</v>
      </c>
      <c r="E113" s="9">
        <v>49.1</v>
      </c>
      <c r="F113" s="9">
        <v>51.7</v>
      </c>
      <c r="G113" s="9">
        <v>62.3</v>
      </c>
      <c r="H113" s="9">
        <v>69.5</v>
      </c>
      <c r="I113" s="9">
        <v>69.099999999999994</v>
      </c>
      <c r="J113" s="9">
        <v>62.5</v>
      </c>
      <c r="K113" s="9">
        <v>49.8</v>
      </c>
      <c r="L113" s="9">
        <v>42.8</v>
      </c>
      <c r="M113" s="9">
        <v>35.200000000000003</v>
      </c>
    </row>
    <row r="114" spans="1:14" ht="15" customHeight="1" x14ac:dyDescent="0.2">
      <c r="A114" s="1">
        <v>2020</v>
      </c>
      <c r="B114" s="9">
        <v>34.85</v>
      </c>
      <c r="C114" s="9">
        <v>38.479999999999997</v>
      </c>
      <c r="D114" s="9">
        <v>45.45</v>
      </c>
      <c r="E114" s="9">
        <v>53.09</v>
      </c>
      <c r="F114" s="9">
        <v>63.26</v>
      </c>
      <c r="G114" s="9">
        <v>70.75</v>
      </c>
      <c r="H114" s="9">
        <v>73.67</v>
      </c>
      <c r="I114" s="9">
        <v>73.34</v>
      </c>
      <c r="J114" s="9">
        <v>65.42</v>
      </c>
      <c r="K114" s="9">
        <v>54.45</v>
      </c>
      <c r="L114" s="9">
        <v>43.63</v>
      </c>
      <c r="M114" s="9">
        <v>32.69</v>
      </c>
      <c r="N114" s="9"/>
    </row>
    <row r="115" spans="1:14" ht="15" customHeight="1" x14ac:dyDescent="0.2">
      <c r="A115" s="1">
        <v>2021</v>
      </c>
      <c r="B115" s="9">
        <v>34.200000000000003</v>
      </c>
      <c r="C115" s="9">
        <v>38.4</v>
      </c>
      <c r="D115" s="9">
        <v>43.3</v>
      </c>
      <c r="E115" s="9">
        <v>53.6</v>
      </c>
      <c r="F115" s="9">
        <v>62.2</v>
      </c>
      <c r="G115" s="9">
        <v>73.7</v>
      </c>
      <c r="H115" s="9">
        <v>71.2</v>
      </c>
      <c r="I115" s="9">
        <v>68.400000000000006</v>
      </c>
      <c r="J115" s="9">
        <v>64.900000000000006</v>
      </c>
      <c r="K115" s="9">
        <v>52</v>
      </c>
      <c r="L115" s="9">
        <v>44.5</v>
      </c>
      <c r="M115" s="9">
        <v>38.5</v>
      </c>
      <c r="N115" s="9"/>
    </row>
    <row r="116" spans="1:14" ht="15" customHeight="1" x14ac:dyDescent="0.2">
      <c r="A116" s="1">
        <v>2022</v>
      </c>
      <c r="B116" s="9">
        <v>34.5657</v>
      </c>
      <c r="C116" s="9">
        <v>32.947000000000003</v>
      </c>
      <c r="D116" s="9">
        <v>39.976900000000001</v>
      </c>
      <c r="E116" s="9">
        <v>48.6646</v>
      </c>
      <c r="F116" s="9">
        <v>57.264600000000002</v>
      </c>
      <c r="G116" s="9">
        <v>65.8857</v>
      </c>
      <c r="H116" s="9">
        <v>69.776799999999994</v>
      </c>
      <c r="I116" s="9">
        <v>66.889399999999995</v>
      </c>
      <c r="J116" s="9">
        <v>62.758600000000001</v>
      </c>
      <c r="K116" s="9">
        <v>49.251600000000003</v>
      </c>
      <c r="L116" s="9">
        <v>35.934399999999997</v>
      </c>
      <c r="M116" s="9">
        <v>34.659700000000001</v>
      </c>
      <c r="N116" s="9"/>
    </row>
    <row r="117" spans="1:14" ht="15" customHeight="1" x14ac:dyDescent="0.2">
      <c r="A117" s="1">
        <v>2023</v>
      </c>
      <c r="B117" s="1">
        <v>30.5</v>
      </c>
      <c r="C117" s="1">
        <v>32.4</v>
      </c>
      <c r="D117" s="1">
        <v>39.5</v>
      </c>
      <c r="E117" s="1">
        <v>48.2</v>
      </c>
      <c r="F117" s="1">
        <v>55.8</v>
      </c>
      <c r="G117" s="1">
        <v>62.3</v>
      </c>
      <c r="H117" s="1">
        <v>73.400000000000006</v>
      </c>
      <c r="I117" s="1">
        <v>67.7</v>
      </c>
      <c r="J117" s="1">
        <v>62.8</v>
      </c>
      <c r="K117" s="1">
        <v>53.2</v>
      </c>
      <c r="L117" s="1">
        <v>42.4</v>
      </c>
      <c r="M117" s="1">
        <v>35.9</v>
      </c>
    </row>
    <row r="118" spans="1:14" ht="15" customHeight="1" x14ac:dyDescent="0.2">
      <c r="A118" s="1">
        <v>2024</v>
      </c>
      <c r="B118" s="1">
        <v>32.299999999999997</v>
      </c>
      <c r="C118" s="1">
        <v>37.799999999999997</v>
      </c>
      <c r="D118" s="1">
        <v>40</v>
      </c>
      <c r="E118" s="1">
        <v>46.5</v>
      </c>
      <c r="F118" s="1">
        <v>54.2</v>
      </c>
      <c r="G118" s="1">
        <v>67.900000000000006</v>
      </c>
      <c r="H118" s="1">
        <v>69.599999999999994</v>
      </c>
      <c r="I118" s="1">
        <v>68.599999999999994</v>
      </c>
      <c r="J118" s="1">
        <v>62.5</v>
      </c>
      <c r="K118" s="1">
        <v>54.3</v>
      </c>
      <c r="L118" s="1">
        <v>37.299999999999997</v>
      </c>
      <c r="M118" s="1">
        <v>37.700000000000003</v>
      </c>
    </row>
    <row r="119" spans="1:14" ht="15" customHeight="1" x14ac:dyDescent="0.2">
      <c r="A119" s="2" t="s">
        <v>107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4" ht="15" customHeight="1" x14ac:dyDescent="0.2">
      <c r="A120" s="1">
        <v>1968</v>
      </c>
      <c r="B120" s="6" t="s">
        <v>147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4" ht="15" customHeight="1" x14ac:dyDescent="0.2">
      <c r="B121" s="6" t="s">
        <v>148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4" ht="15" customHeight="1" x14ac:dyDescent="0.2">
      <c r="A122" s="1">
        <v>1969</v>
      </c>
      <c r="B122" s="1" t="s">
        <v>12</v>
      </c>
    </row>
    <row r="123" spans="1:14" ht="15" customHeight="1" x14ac:dyDescent="0.2">
      <c r="A123" s="1">
        <v>1970</v>
      </c>
      <c r="B123" s="1" t="s">
        <v>21</v>
      </c>
    </row>
    <row r="124" spans="1:14" ht="15" customHeight="1" x14ac:dyDescent="0.2">
      <c r="A124" s="1">
        <v>1971</v>
      </c>
      <c r="B124" s="1" t="s">
        <v>22</v>
      </c>
    </row>
    <row r="125" spans="1:14" ht="15" customHeight="1" x14ac:dyDescent="0.2">
      <c r="A125" s="1">
        <v>1972</v>
      </c>
      <c r="B125" s="1" t="s">
        <v>27</v>
      </c>
    </row>
    <row r="126" spans="1:14" ht="15" customHeight="1" x14ac:dyDescent="0.2">
      <c r="A126" s="1">
        <v>1973</v>
      </c>
      <c r="B126" s="1" t="s">
        <v>152</v>
      </c>
    </row>
    <row r="127" spans="1:14" ht="15" customHeight="1" x14ac:dyDescent="0.2">
      <c r="A127" s="1">
        <v>1974</v>
      </c>
      <c r="B127" s="1" t="s">
        <v>153</v>
      </c>
    </row>
    <row r="128" spans="1:14" ht="15" customHeight="1" x14ac:dyDescent="0.2">
      <c r="A128" s="1">
        <v>1975</v>
      </c>
      <c r="B128" s="1" t="s">
        <v>34</v>
      </c>
    </row>
    <row r="129" spans="1:2" ht="15" customHeight="1" x14ac:dyDescent="0.2">
      <c r="A129" s="1">
        <v>1976</v>
      </c>
      <c r="B129" s="1" t="s">
        <v>34</v>
      </c>
    </row>
    <row r="130" spans="1:2" ht="15" customHeight="1" x14ac:dyDescent="0.2">
      <c r="A130" s="1">
        <v>1977</v>
      </c>
      <c r="B130" s="1" t="s">
        <v>39</v>
      </c>
    </row>
    <row r="131" spans="1:2" ht="15" customHeight="1" x14ac:dyDescent="0.2">
      <c r="A131" s="1">
        <v>1978</v>
      </c>
      <c r="B131" s="1" t="s">
        <v>47</v>
      </c>
    </row>
    <row r="132" spans="1:2" ht="15" customHeight="1" x14ac:dyDescent="0.2">
      <c r="A132" s="1">
        <v>1979</v>
      </c>
      <c r="B132" s="1" t="s">
        <v>46</v>
      </c>
    </row>
    <row r="133" spans="1:2" ht="15" customHeight="1" x14ac:dyDescent="0.2">
      <c r="A133" s="1">
        <v>1980</v>
      </c>
      <c r="B133" s="1" t="s">
        <v>34</v>
      </c>
    </row>
    <row r="134" spans="1:2" ht="15" customHeight="1" x14ac:dyDescent="0.2">
      <c r="A134" s="1">
        <v>1981</v>
      </c>
      <c r="B134" s="1" t="s">
        <v>51</v>
      </c>
    </row>
    <row r="135" spans="1:2" ht="15" customHeight="1" x14ac:dyDescent="0.2">
      <c r="A135" s="1">
        <v>1982</v>
      </c>
      <c r="B135" s="1" t="s">
        <v>34</v>
      </c>
    </row>
    <row r="136" spans="1:2" ht="15" customHeight="1" x14ac:dyDescent="0.2">
      <c r="A136" s="1">
        <v>1983</v>
      </c>
      <c r="B136" s="1" t="s">
        <v>34</v>
      </c>
    </row>
    <row r="137" spans="1:2" ht="15" customHeight="1" x14ac:dyDescent="0.2">
      <c r="A137" s="1">
        <v>1984</v>
      </c>
      <c r="B137" s="1" t="s">
        <v>34</v>
      </c>
    </row>
    <row r="138" spans="1:2" ht="15" customHeight="1" x14ac:dyDescent="0.2">
      <c r="A138" s="1">
        <v>1985</v>
      </c>
      <c r="B138" s="1" t="s">
        <v>34</v>
      </c>
    </row>
    <row r="139" spans="1:2" ht="15" customHeight="1" x14ac:dyDescent="0.2">
      <c r="A139" s="1">
        <v>1986</v>
      </c>
      <c r="B139" s="1" t="s">
        <v>34</v>
      </c>
    </row>
    <row r="140" spans="1:2" ht="15" customHeight="1" x14ac:dyDescent="0.2">
      <c r="A140" s="1">
        <v>1987</v>
      </c>
      <c r="B140" s="1" t="s">
        <v>53</v>
      </c>
    </row>
    <row r="141" spans="1:2" ht="15" customHeight="1" x14ac:dyDescent="0.2">
      <c r="A141" s="1">
        <v>1988</v>
      </c>
      <c r="B141" s="1" t="s">
        <v>34</v>
      </c>
    </row>
    <row r="142" spans="1:2" ht="15" customHeight="1" x14ac:dyDescent="0.2">
      <c r="A142" s="1">
        <v>1989</v>
      </c>
      <c r="B142" s="1" t="s">
        <v>154</v>
      </c>
    </row>
    <row r="143" spans="1:2" ht="15" customHeight="1" x14ac:dyDescent="0.2">
      <c r="A143" s="1">
        <v>1990</v>
      </c>
      <c r="B143" s="1" t="s">
        <v>34</v>
      </c>
    </row>
    <row r="144" spans="1:2" ht="15" customHeight="1" x14ac:dyDescent="0.2">
      <c r="A144" s="1">
        <v>1991</v>
      </c>
      <c r="B144" s="1" t="s">
        <v>34</v>
      </c>
    </row>
    <row r="145" spans="1:13" ht="15" customHeight="1" x14ac:dyDescent="0.2">
      <c r="A145" s="1">
        <v>1992</v>
      </c>
      <c r="B145" s="1" t="s">
        <v>34</v>
      </c>
    </row>
    <row r="146" spans="1:13" ht="15" customHeight="1" x14ac:dyDescent="0.2">
      <c r="A146" s="1">
        <v>1993</v>
      </c>
      <c r="B146" s="1" t="s">
        <v>62</v>
      </c>
    </row>
    <row r="147" spans="1:13" ht="15" customHeight="1" x14ac:dyDescent="0.2">
      <c r="A147" s="1">
        <v>1994</v>
      </c>
      <c r="B147" s="1" t="s">
        <v>66</v>
      </c>
    </row>
    <row r="148" spans="1:13" ht="15" customHeight="1" x14ac:dyDescent="0.2">
      <c r="A148" s="1">
        <v>1995</v>
      </c>
      <c r="B148" s="1" t="s">
        <v>67</v>
      </c>
    </row>
    <row r="149" spans="1:13" ht="15" customHeight="1" x14ac:dyDescent="0.2">
      <c r="A149" s="1">
        <v>1996</v>
      </c>
      <c r="B149" s="6" t="s">
        <v>150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3" ht="15" customHeight="1" x14ac:dyDescent="0.2">
      <c r="A150" s="1">
        <v>1997</v>
      </c>
      <c r="B150" s="1" t="s">
        <v>149</v>
      </c>
    </row>
    <row r="151" spans="1:13" ht="15" customHeight="1" x14ac:dyDescent="0.2">
      <c r="A151" s="1">
        <v>1998</v>
      </c>
      <c r="B151" s="1" t="s">
        <v>69</v>
      </c>
    </row>
    <row r="152" spans="1:13" ht="15" customHeight="1" x14ac:dyDescent="0.2">
      <c r="A152" s="1">
        <v>1999</v>
      </c>
      <c r="B152" s="1" t="s">
        <v>70</v>
      </c>
    </row>
    <row r="153" spans="1:13" ht="15" customHeight="1" x14ac:dyDescent="0.2">
      <c r="A153" s="1">
        <v>2000</v>
      </c>
      <c r="B153" s="1" t="s">
        <v>70</v>
      </c>
    </row>
    <row r="154" spans="1:13" ht="15" customHeight="1" x14ac:dyDescent="0.2">
      <c r="A154" s="1">
        <v>2001</v>
      </c>
      <c r="B154" s="1" t="s">
        <v>155</v>
      </c>
    </row>
    <row r="155" spans="1:13" ht="15" customHeight="1" x14ac:dyDescent="0.2">
      <c r="B155" s="1" t="s">
        <v>156</v>
      </c>
    </row>
    <row r="156" spans="1:13" ht="15" customHeight="1" x14ac:dyDescent="0.2">
      <c r="A156" s="1">
        <v>2002</v>
      </c>
      <c r="B156" s="1" t="s">
        <v>34</v>
      </c>
    </row>
    <row r="157" spans="1:13" ht="15" customHeight="1" x14ac:dyDescent="0.2">
      <c r="A157" s="1">
        <v>2003</v>
      </c>
      <c r="B157" s="1" t="s">
        <v>11</v>
      </c>
    </row>
    <row r="158" spans="1:13" ht="15" customHeight="1" x14ac:dyDescent="0.2">
      <c r="A158" s="1">
        <v>2004</v>
      </c>
      <c r="B158" s="6" t="s">
        <v>157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5" customHeight="1" x14ac:dyDescent="0.2">
      <c r="B159" s="6" t="s">
        <v>151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5" customHeight="1" x14ac:dyDescent="0.2">
      <c r="A160" s="1">
        <v>2005</v>
      </c>
      <c r="B160" s="1" t="s">
        <v>96</v>
      </c>
    </row>
    <row r="161" spans="1:2" ht="15" customHeight="1" x14ac:dyDescent="0.2">
      <c r="B161" s="1" t="s">
        <v>97</v>
      </c>
    </row>
    <row r="162" spans="1:2" ht="15" customHeight="1" x14ac:dyDescent="0.2">
      <c r="A162" s="1">
        <v>2006</v>
      </c>
      <c r="B162" s="1" t="s">
        <v>158</v>
      </c>
    </row>
    <row r="163" spans="1:2" ht="15" customHeight="1" x14ac:dyDescent="0.2">
      <c r="B163" s="1" t="s">
        <v>159</v>
      </c>
    </row>
    <row r="164" spans="1:2" ht="15" customHeight="1" x14ac:dyDescent="0.2">
      <c r="A164" s="1">
        <v>2007</v>
      </c>
      <c r="B164" s="1" t="s">
        <v>113</v>
      </c>
    </row>
    <row r="165" spans="1:2" ht="15" customHeight="1" x14ac:dyDescent="0.2">
      <c r="A165" s="1">
        <v>2008</v>
      </c>
      <c r="B165" s="1" t="s">
        <v>142</v>
      </c>
    </row>
    <row r="166" spans="1:2" ht="15" customHeight="1" x14ac:dyDescent="0.2">
      <c r="A166" s="1">
        <v>2009</v>
      </c>
      <c r="B166" s="1" t="s">
        <v>183</v>
      </c>
    </row>
    <row r="167" spans="1:2" ht="15" customHeight="1" x14ac:dyDescent="0.2">
      <c r="A167" s="1">
        <v>2010</v>
      </c>
      <c r="B167" s="1" t="s">
        <v>186</v>
      </c>
    </row>
    <row r="168" spans="1:2" ht="15" customHeight="1" x14ac:dyDescent="0.2">
      <c r="A168" s="1">
        <v>2011</v>
      </c>
      <c r="B168" s="1" t="s">
        <v>11</v>
      </c>
    </row>
    <row r="169" spans="1:2" ht="15" customHeight="1" x14ac:dyDescent="0.2">
      <c r="A169" s="1">
        <v>2012</v>
      </c>
      <c r="B169" s="1" t="s">
        <v>11</v>
      </c>
    </row>
    <row r="170" spans="1:2" ht="15" customHeight="1" x14ac:dyDescent="0.2">
      <c r="A170" s="1">
        <v>2013</v>
      </c>
      <c r="B170" s="1" t="s">
        <v>11</v>
      </c>
    </row>
    <row r="171" spans="1:2" ht="15" customHeight="1" x14ac:dyDescent="0.2">
      <c r="A171" s="1">
        <v>2014</v>
      </c>
      <c r="B171" s="1" t="s">
        <v>11</v>
      </c>
    </row>
    <row r="172" spans="1:2" ht="15" customHeight="1" x14ac:dyDescent="0.2">
      <c r="A172" s="1">
        <v>2015</v>
      </c>
      <c r="B172" s="1" t="s">
        <v>203</v>
      </c>
    </row>
    <row r="173" spans="1:2" ht="15" customHeight="1" x14ac:dyDescent="0.2">
      <c r="A173" s="1">
        <v>2016</v>
      </c>
      <c r="B173" s="1" t="s">
        <v>205</v>
      </c>
    </row>
    <row r="174" spans="1:2" ht="15" customHeight="1" x14ac:dyDescent="0.2">
      <c r="B174" s="1" t="s">
        <v>206</v>
      </c>
    </row>
    <row r="175" spans="1:2" ht="15" customHeight="1" x14ac:dyDescent="0.2">
      <c r="A175" s="1">
        <v>2017</v>
      </c>
      <c r="B175" s="1" t="s">
        <v>208</v>
      </c>
    </row>
    <row r="176" spans="1:2" ht="15" customHeight="1" x14ac:dyDescent="0.2">
      <c r="B176" s="1" t="s">
        <v>209</v>
      </c>
    </row>
    <row r="177" spans="1:12" ht="15" customHeight="1" x14ac:dyDescent="0.2">
      <c r="A177" s="1">
        <v>2018</v>
      </c>
      <c r="B177" s="1" t="s">
        <v>210</v>
      </c>
    </row>
    <row r="178" spans="1:12" ht="15" customHeight="1" x14ac:dyDescent="0.2">
      <c r="B178" s="1" t="s">
        <v>211</v>
      </c>
    </row>
    <row r="179" spans="1:12" ht="15" customHeight="1" x14ac:dyDescent="0.2">
      <c r="A179" s="1">
        <v>2019</v>
      </c>
      <c r="B179" s="1" t="s">
        <v>214</v>
      </c>
    </row>
    <row r="180" spans="1:12" ht="15" customHeight="1" x14ac:dyDescent="0.2">
      <c r="A180" s="1">
        <v>2020</v>
      </c>
      <c r="B180" s="14" t="s">
        <v>219</v>
      </c>
      <c r="J180" s="1" t="s">
        <v>216</v>
      </c>
    </row>
    <row r="181" spans="1:12" ht="15" customHeight="1" x14ac:dyDescent="0.2">
      <c r="A181" s="1">
        <v>2021</v>
      </c>
      <c r="B181" s="1" t="s">
        <v>225</v>
      </c>
    </row>
    <row r="182" spans="1:12" ht="15" customHeight="1" x14ac:dyDescent="0.2">
      <c r="A182" s="1">
        <v>2022</v>
      </c>
      <c r="B182" s="1" t="s">
        <v>227</v>
      </c>
    </row>
    <row r="183" spans="1:12" ht="15" customHeight="1" x14ac:dyDescent="0.2">
      <c r="A183" s="1">
        <v>2023</v>
      </c>
      <c r="B183" s="1" t="s">
        <v>227</v>
      </c>
    </row>
    <row r="184" spans="1:12" ht="15" customHeight="1" x14ac:dyDescent="0.2">
      <c r="A184" s="1">
        <v>2024</v>
      </c>
      <c r="B184" s="1" t="s">
        <v>227</v>
      </c>
    </row>
    <row r="185" spans="1:12" ht="15" customHeight="1" x14ac:dyDescent="0.2">
      <c r="A185" s="2" t="s">
        <v>3</v>
      </c>
      <c r="C185" s="2"/>
      <c r="D185" s="2" t="s">
        <v>136</v>
      </c>
      <c r="E185" s="2"/>
      <c r="F185" s="2"/>
      <c r="G185" s="2"/>
      <c r="H185" s="2"/>
      <c r="I185" s="2"/>
      <c r="J185" s="2"/>
      <c r="K185" s="2"/>
      <c r="L185" s="2"/>
    </row>
    <row r="186" spans="1:12" ht="15" customHeight="1" x14ac:dyDescent="0.2">
      <c r="A186" s="2"/>
      <c r="B186" s="1" t="s">
        <v>137</v>
      </c>
      <c r="C186" s="2"/>
      <c r="D186" s="2"/>
      <c r="E186" s="1" t="s">
        <v>137</v>
      </c>
      <c r="F186" s="2"/>
      <c r="G186" s="2"/>
      <c r="H186" s="1" t="s">
        <v>140</v>
      </c>
      <c r="I186" s="2"/>
      <c r="J186" s="2"/>
      <c r="K186" s="1" t="s">
        <v>140</v>
      </c>
      <c r="L186" s="2"/>
    </row>
    <row r="187" spans="1:12" ht="15" customHeight="1" x14ac:dyDescent="0.2">
      <c r="B187" s="8" t="s">
        <v>139</v>
      </c>
      <c r="C187" s="8"/>
      <c r="E187" s="8" t="s">
        <v>138</v>
      </c>
      <c r="F187" s="8"/>
      <c r="H187" s="8" t="s">
        <v>138</v>
      </c>
      <c r="I187" s="8"/>
      <c r="K187" s="8" t="s">
        <v>139</v>
      </c>
      <c r="L187" s="8"/>
    </row>
    <row r="188" spans="1:12" ht="15" customHeight="1" x14ac:dyDescent="0.2">
      <c r="A188" s="1">
        <v>1968</v>
      </c>
      <c r="B188" s="1">
        <v>5</v>
      </c>
      <c r="C188" s="1">
        <v>26</v>
      </c>
      <c r="E188" s="1">
        <v>5</v>
      </c>
      <c r="F188" s="1">
        <v>26</v>
      </c>
      <c r="H188" s="1">
        <v>9</v>
      </c>
      <c r="I188" s="1">
        <v>16</v>
      </c>
      <c r="K188" s="1">
        <v>9</v>
      </c>
      <c r="L188" s="1">
        <v>16</v>
      </c>
    </row>
    <row r="189" spans="1:12" ht="15" customHeight="1" x14ac:dyDescent="0.2">
      <c r="A189" s="1">
        <v>1969</v>
      </c>
      <c r="B189" s="1">
        <v>5</v>
      </c>
      <c r="C189" s="1">
        <v>15</v>
      </c>
      <c r="E189" s="1">
        <v>5</v>
      </c>
      <c r="F189" s="1">
        <v>15</v>
      </c>
      <c r="H189" s="1">
        <v>10</v>
      </c>
      <c r="I189" s="1">
        <v>5</v>
      </c>
      <c r="K189" s="1">
        <v>10</v>
      </c>
      <c r="L189" s="1">
        <v>6</v>
      </c>
    </row>
    <row r="190" spans="1:12" ht="15" customHeight="1" x14ac:dyDescent="0.2">
      <c r="A190" s="1">
        <v>1970</v>
      </c>
      <c r="B190" s="1">
        <v>5</v>
      </c>
      <c r="C190" s="1">
        <v>8</v>
      </c>
      <c r="E190" s="1">
        <v>6</v>
      </c>
      <c r="F190" s="1">
        <v>2</v>
      </c>
      <c r="H190" s="1">
        <v>9</v>
      </c>
      <c r="I190" s="1">
        <v>23</v>
      </c>
      <c r="K190" s="1">
        <v>9</v>
      </c>
      <c r="L190" s="1">
        <v>23</v>
      </c>
    </row>
    <row r="191" spans="1:12" ht="15" customHeight="1" x14ac:dyDescent="0.2">
      <c r="A191" s="1">
        <v>1971</v>
      </c>
      <c r="B191" s="1">
        <v>6</v>
      </c>
      <c r="C191" s="1">
        <v>5</v>
      </c>
      <c r="E191" s="1">
        <v>6</v>
      </c>
      <c r="F191" s="1">
        <v>6</v>
      </c>
      <c r="H191" s="1">
        <v>9</v>
      </c>
      <c r="I191" s="1">
        <v>20</v>
      </c>
      <c r="K191" s="1">
        <v>10</v>
      </c>
      <c r="L191" s="1">
        <v>19</v>
      </c>
    </row>
    <row r="192" spans="1:12" ht="15" customHeight="1" x14ac:dyDescent="0.2">
      <c r="A192" s="1">
        <v>1972</v>
      </c>
      <c r="B192" s="1">
        <v>5</v>
      </c>
      <c r="C192" s="1">
        <v>24</v>
      </c>
      <c r="E192" s="1">
        <v>5</v>
      </c>
      <c r="F192" s="1">
        <v>26</v>
      </c>
      <c r="H192" s="1">
        <v>10</v>
      </c>
      <c r="I192" s="1">
        <v>20</v>
      </c>
      <c r="K192" s="1">
        <v>10</v>
      </c>
      <c r="L192" s="1">
        <v>22</v>
      </c>
    </row>
    <row r="193" spans="1:12" ht="15" customHeight="1" x14ac:dyDescent="0.2">
      <c r="A193" s="1">
        <v>1973</v>
      </c>
      <c r="B193" s="1">
        <v>6</v>
      </c>
      <c r="C193" s="1">
        <v>20</v>
      </c>
      <c r="E193" s="1">
        <v>6</v>
      </c>
      <c r="F193" s="1">
        <v>23</v>
      </c>
      <c r="H193" s="1">
        <v>9</v>
      </c>
      <c r="I193" s="1">
        <v>27</v>
      </c>
      <c r="K193" s="1">
        <v>9</v>
      </c>
      <c r="L193" s="1">
        <v>27</v>
      </c>
    </row>
    <row r="194" spans="1:12" ht="15" customHeight="1" x14ac:dyDescent="0.2">
      <c r="A194" s="1">
        <v>1974</v>
      </c>
      <c r="B194" s="1">
        <v>5</v>
      </c>
      <c r="C194" s="1">
        <v>21</v>
      </c>
      <c r="E194" s="1">
        <v>5</v>
      </c>
      <c r="F194" s="1">
        <v>21</v>
      </c>
      <c r="H194" s="1">
        <v>9</v>
      </c>
      <c r="I194" s="1">
        <v>28</v>
      </c>
      <c r="K194" s="1">
        <v>9</v>
      </c>
      <c r="L194" s="1">
        <v>28</v>
      </c>
    </row>
    <row r="195" spans="1:12" ht="15" customHeight="1" x14ac:dyDescent="0.2">
      <c r="A195" s="1">
        <v>1975</v>
      </c>
      <c r="B195" s="1">
        <v>6</v>
      </c>
      <c r="C195" s="1">
        <v>26</v>
      </c>
      <c r="E195" s="1">
        <v>6</v>
      </c>
      <c r="F195" s="1">
        <v>27</v>
      </c>
      <c r="H195" s="1">
        <v>9</v>
      </c>
      <c r="I195" s="1">
        <v>23</v>
      </c>
      <c r="K195" s="1">
        <v>10</v>
      </c>
      <c r="L195" s="1">
        <v>5</v>
      </c>
    </row>
    <row r="196" spans="1:12" ht="15" customHeight="1" x14ac:dyDescent="0.2">
      <c r="A196" s="1">
        <v>1976</v>
      </c>
      <c r="B196" s="1">
        <v>6</v>
      </c>
      <c r="C196" s="1">
        <v>12</v>
      </c>
      <c r="E196" s="1">
        <v>6</v>
      </c>
      <c r="F196" s="1">
        <v>13</v>
      </c>
      <c r="H196" s="1">
        <v>9</v>
      </c>
      <c r="I196" s="1">
        <v>30</v>
      </c>
      <c r="K196" s="1">
        <v>10</v>
      </c>
      <c r="L196" s="1">
        <v>8</v>
      </c>
    </row>
    <row r="197" spans="1:12" ht="15" customHeight="1" x14ac:dyDescent="0.2">
      <c r="A197" s="1">
        <v>1977</v>
      </c>
      <c r="B197" s="1">
        <v>5</v>
      </c>
      <c r="C197" s="1">
        <v>27</v>
      </c>
      <c r="E197" s="1">
        <v>5</v>
      </c>
      <c r="F197" s="1">
        <v>29</v>
      </c>
      <c r="H197" s="1">
        <v>9</v>
      </c>
      <c r="I197" s="1">
        <v>18</v>
      </c>
      <c r="K197" s="1">
        <v>9</v>
      </c>
      <c r="L197" s="1">
        <v>25</v>
      </c>
    </row>
    <row r="198" spans="1:12" ht="15" customHeight="1" x14ac:dyDescent="0.2">
      <c r="A198" s="1">
        <v>1978</v>
      </c>
      <c r="B198" s="1">
        <v>5</v>
      </c>
      <c r="C198" s="1">
        <v>20</v>
      </c>
      <c r="E198" s="1">
        <v>6</v>
      </c>
      <c r="F198" s="1">
        <v>5</v>
      </c>
      <c r="H198" s="1">
        <v>9</v>
      </c>
      <c r="I198" s="1">
        <v>27</v>
      </c>
      <c r="K198" s="1">
        <v>10</v>
      </c>
      <c r="L198" s="1">
        <v>5</v>
      </c>
    </row>
    <row r="199" spans="1:12" ht="15" customHeight="1" x14ac:dyDescent="0.2">
      <c r="A199" s="1">
        <v>1979</v>
      </c>
      <c r="B199" s="1">
        <v>5</v>
      </c>
      <c r="C199" s="1">
        <v>25</v>
      </c>
      <c r="E199" s="1">
        <v>5</v>
      </c>
      <c r="F199" s="1">
        <v>25</v>
      </c>
      <c r="H199" s="1">
        <v>9</v>
      </c>
      <c r="I199" s="1">
        <v>27</v>
      </c>
      <c r="K199" s="1">
        <v>10</v>
      </c>
      <c r="L199" s="1">
        <v>5</v>
      </c>
    </row>
    <row r="200" spans="1:12" ht="15" customHeight="1" x14ac:dyDescent="0.2">
      <c r="A200" s="1">
        <v>1980</v>
      </c>
      <c r="B200" s="1">
        <v>6</v>
      </c>
      <c r="C200" s="1">
        <v>3</v>
      </c>
      <c r="E200" s="1">
        <v>6</v>
      </c>
      <c r="F200" s="1">
        <v>8</v>
      </c>
      <c r="H200" s="1">
        <v>9</v>
      </c>
      <c r="I200" s="1">
        <v>22</v>
      </c>
      <c r="K200" s="1">
        <v>10</v>
      </c>
      <c r="L200" s="1">
        <v>16</v>
      </c>
    </row>
    <row r="201" spans="1:12" ht="15" customHeight="1" x14ac:dyDescent="0.2">
      <c r="A201" s="1">
        <v>1981</v>
      </c>
      <c r="B201" s="1">
        <v>5</v>
      </c>
      <c r="C201" s="1">
        <v>18</v>
      </c>
      <c r="E201" s="1">
        <v>6</v>
      </c>
      <c r="F201" s="1">
        <v>17</v>
      </c>
      <c r="H201" s="1">
        <v>10</v>
      </c>
      <c r="I201" s="1">
        <v>4</v>
      </c>
      <c r="K201" s="1">
        <v>10</v>
      </c>
      <c r="L201" s="1">
        <v>17</v>
      </c>
    </row>
    <row r="202" spans="1:12" ht="15" customHeight="1" x14ac:dyDescent="0.2">
      <c r="A202" s="1">
        <v>1982</v>
      </c>
      <c r="B202" s="1">
        <v>6</v>
      </c>
      <c r="C202" s="1">
        <v>2</v>
      </c>
      <c r="E202" s="1">
        <v>6</v>
      </c>
      <c r="F202" s="1">
        <v>9</v>
      </c>
      <c r="H202" s="1">
        <v>10</v>
      </c>
      <c r="I202" s="1">
        <v>2</v>
      </c>
      <c r="K202" s="1">
        <v>10</v>
      </c>
      <c r="L202" s="1">
        <v>2</v>
      </c>
    </row>
    <row r="203" spans="1:12" ht="15" customHeight="1" x14ac:dyDescent="0.2">
      <c r="A203" s="1">
        <v>1983</v>
      </c>
      <c r="B203" s="1">
        <v>5</v>
      </c>
      <c r="C203" s="1">
        <v>21</v>
      </c>
      <c r="E203" s="1">
        <v>6</v>
      </c>
      <c r="F203" s="1">
        <v>20</v>
      </c>
      <c r="H203" s="1">
        <v>10</v>
      </c>
      <c r="I203" s="1">
        <v>12</v>
      </c>
      <c r="K203" s="1">
        <v>10</v>
      </c>
      <c r="L203" s="1">
        <v>12</v>
      </c>
    </row>
    <row r="204" spans="1:12" ht="15" customHeight="1" x14ac:dyDescent="0.2">
      <c r="A204" s="1">
        <v>1984</v>
      </c>
      <c r="B204" s="1">
        <v>5</v>
      </c>
      <c r="C204" s="1">
        <v>8</v>
      </c>
      <c r="E204" s="1">
        <v>5</v>
      </c>
      <c r="F204" s="1">
        <v>10</v>
      </c>
      <c r="H204" s="1">
        <v>9</v>
      </c>
      <c r="I204" s="1">
        <v>6</v>
      </c>
      <c r="K204" s="1">
        <v>10</v>
      </c>
      <c r="L204" s="1">
        <v>14</v>
      </c>
    </row>
    <row r="205" spans="1:12" ht="15" customHeight="1" x14ac:dyDescent="0.2">
      <c r="A205" s="1">
        <v>1985</v>
      </c>
      <c r="B205" s="1">
        <v>5</v>
      </c>
      <c r="C205" s="1">
        <v>15</v>
      </c>
      <c r="E205" s="1">
        <v>6</v>
      </c>
      <c r="F205" s="1">
        <v>2</v>
      </c>
      <c r="H205" s="1">
        <v>9</v>
      </c>
      <c r="I205" s="1">
        <v>21</v>
      </c>
      <c r="K205" s="1">
        <v>9</v>
      </c>
      <c r="L205" s="1">
        <v>30</v>
      </c>
    </row>
    <row r="206" spans="1:12" ht="15" customHeight="1" x14ac:dyDescent="0.2">
      <c r="A206" s="1">
        <v>1986</v>
      </c>
      <c r="B206" s="1">
        <v>5</v>
      </c>
      <c r="C206" s="1">
        <v>18</v>
      </c>
      <c r="E206" s="1">
        <v>5</v>
      </c>
      <c r="F206" s="1">
        <v>20</v>
      </c>
      <c r="H206" s="1">
        <v>9</v>
      </c>
      <c r="I206" s="1">
        <v>17</v>
      </c>
      <c r="K206" s="1">
        <v>9</v>
      </c>
      <c r="L206" s="1">
        <v>30</v>
      </c>
    </row>
    <row r="207" spans="1:12" ht="15" customHeight="1" x14ac:dyDescent="0.2">
      <c r="A207" s="1">
        <v>1987</v>
      </c>
      <c r="B207" s="1">
        <v>5</v>
      </c>
      <c r="C207" s="1">
        <v>29</v>
      </c>
      <c r="E207" s="1">
        <v>5</v>
      </c>
      <c r="F207" s="1">
        <v>30</v>
      </c>
      <c r="H207" s="1">
        <v>9</v>
      </c>
      <c r="I207" s="1">
        <v>16</v>
      </c>
      <c r="K207" s="1">
        <v>10</v>
      </c>
      <c r="L207" s="1">
        <v>4</v>
      </c>
    </row>
    <row r="208" spans="1:12" ht="15" customHeight="1" x14ac:dyDescent="0.2">
      <c r="A208" s="1">
        <v>1988</v>
      </c>
      <c r="B208" s="1">
        <v>5</v>
      </c>
      <c r="C208" s="1">
        <v>31</v>
      </c>
      <c r="E208" s="1">
        <v>6</v>
      </c>
      <c r="F208" s="1">
        <v>8</v>
      </c>
      <c r="H208" s="1">
        <v>9</v>
      </c>
      <c r="I208" s="1">
        <v>19</v>
      </c>
      <c r="K208" s="1">
        <v>10</v>
      </c>
      <c r="L208" s="1">
        <v>12</v>
      </c>
    </row>
    <row r="209" spans="1:12" ht="15" customHeight="1" x14ac:dyDescent="0.2">
      <c r="A209" s="1">
        <v>1989</v>
      </c>
      <c r="B209" s="1">
        <v>5</v>
      </c>
      <c r="C209" s="1">
        <v>15</v>
      </c>
      <c r="E209" s="1">
        <v>6</v>
      </c>
      <c r="F209" s="1">
        <v>23</v>
      </c>
      <c r="H209" s="1">
        <v>9</v>
      </c>
      <c r="I209" s="1">
        <v>21</v>
      </c>
      <c r="K209" s="1">
        <v>9</v>
      </c>
      <c r="L209" s="1">
        <v>28</v>
      </c>
    </row>
    <row r="210" spans="1:12" ht="15" customHeight="1" x14ac:dyDescent="0.2">
      <c r="A210" s="1">
        <v>1990</v>
      </c>
      <c r="B210" s="1">
        <v>5</v>
      </c>
      <c r="C210" s="1">
        <v>29</v>
      </c>
      <c r="E210" s="1">
        <v>6</v>
      </c>
      <c r="F210" s="1">
        <v>1</v>
      </c>
      <c r="H210" s="1">
        <v>10</v>
      </c>
      <c r="I210" s="1">
        <v>4</v>
      </c>
      <c r="K210" s="1">
        <v>10</v>
      </c>
      <c r="L210" s="1">
        <v>9</v>
      </c>
    </row>
    <row r="211" spans="1:12" ht="15" customHeight="1" x14ac:dyDescent="0.2">
      <c r="A211" s="1">
        <v>1991</v>
      </c>
      <c r="B211" s="1">
        <v>6</v>
      </c>
      <c r="C211" s="1">
        <v>3</v>
      </c>
      <c r="E211" s="1">
        <v>6</v>
      </c>
      <c r="F211" s="1">
        <v>23</v>
      </c>
      <c r="H211" s="1">
        <v>10</v>
      </c>
      <c r="I211" s="1">
        <v>2</v>
      </c>
      <c r="K211" s="1">
        <v>10</v>
      </c>
      <c r="L211" s="1">
        <v>5</v>
      </c>
    </row>
    <row r="212" spans="1:12" ht="15" customHeight="1" x14ac:dyDescent="0.2">
      <c r="A212" s="1">
        <v>1992</v>
      </c>
      <c r="B212" s="1">
        <v>4</v>
      </c>
      <c r="C212" s="1">
        <v>25</v>
      </c>
      <c r="E212" s="1">
        <v>6</v>
      </c>
      <c r="F212" s="1">
        <v>17</v>
      </c>
      <c r="H212" s="1">
        <v>9</v>
      </c>
      <c r="I212" s="1">
        <v>6</v>
      </c>
      <c r="K212" s="1">
        <v>9</v>
      </c>
      <c r="L212" s="1">
        <v>30</v>
      </c>
    </row>
    <row r="213" spans="1:12" ht="15" customHeight="1" x14ac:dyDescent="0.2">
      <c r="A213" s="1">
        <v>1993</v>
      </c>
      <c r="B213" s="1">
        <v>6</v>
      </c>
      <c r="C213" s="1">
        <v>9</v>
      </c>
      <c r="E213" s="1">
        <v>6</v>
      </c>
      <c r="F213" s="1">
        <v>12</v>
      </c>
      <c r="H213" s="1">
        <v>9</v>
      </c>
      <c r="I213" s="1">
        <v>18</v>
      </c>
      <c r="K213" s="1">
        <v>9</v>
      </c>
      <c r="L213" s="1">
        <v>19</v>
      </c>
    </row>
    <row r="214" spans="1:12" ht="15" customHeight="1" x14ac:dyDescent="0.2">
      <c r="A214" s="1">
        <v>1994</v>
      </c>
      <c r="B214" s="1">
        <v>5</v>
      </c>
      <c r="C214" s="1">
        <v>21</v>
      </c>
      <c r="E214" s="1">
        <v>5</v>
      </c>
      <c r="F214" s="1">
        <v>23</v>
      </c>
      <c r="H214" s="1">
        <v>9</v>
      </c>
      <c r="I214" s="1">
        <v>23</v>
      </c>
      <c r="K214" s="1">
        <v>9</v>
      </c>
      <c r="L214" s="1">
        <v>27</v>
      </c>
    </row>
    <row r="215" spans="1:12" ht="15" customHeight="1" x14ac:dyDescent="0.2">
      <c r="A215" s="1">
        <v>1995</v>
      </c>
      <c r="B215" s="1">
        <v>6</v>
      </c>
      <c r="C215" s="1">
        <v>10</v>
      </c>
      <c r="E215" s="1">
        <v>6</v>
      </c>
      <c r="F215" s="1">
        <v>23</v>
      </c>
      <c r="H215" s="1">
        <v>9</v>
      </c>
      <c r="I215" s="1">
        <v>21</v>
      </c>
      <c r="K215" s="1">
        <v>10</v>
      </c>
      <c r="L215" s="1">
        <v>2</v>
      </c>
    </row>
    <row r="216" spans="1:12" ht="15" customHeight="1" x14ac:dyDescent="0.2">
      <c r="A216" s="1">
        <v>1996</v>
      </c>
      <c r="B216" s="1">
        <v>6</v>
      </c>
      <c r="C216" s="1">
        <v>1</v>
      </c>
      <c r="E216" s="1">
        <v>6</v>
      </c>
      <c r="F216" s="1">
        <v>23</v>
      </c>
      <c r="H216" s="1">
        <v>9</v>
      </c>
      <c r="I216" s="1">
        <v>21</v>
      </c>
      <c r="K216" s="1">
        <v>9</v>
      </c>
      <c r="L216" s="1">
        <v>28</v>
      </c>
    </row>
    <row r="217" spans="1:12" ht="15" customHeight="1" x14ac:dyDescent="0.2">
      <c r="A217" s="1">
        <v>1997</v>
      </c>
      <c r="B217" s="1">
        <v>5</v>
      </c>
      <c r="C217" s="1">
        <v>3</v>
      </c>
      <c r="E217" s="1">
        <v>5</v>
      </c>
      <c r="F217" s="1">
        <v>28</v>
      </c>
      <c r="H217" s="1">
        <v>10</v>
      </c>
      <c r="I217" s="1">
        <v>9</v>
      </c>
      <c r="K217" s="1">
        <v>10</v>
      </c>
      <c r="L217" s="1">
        <v>24</v>
      </c>
    </row>
    <row r="218" spans="1:12" ht="15" customHeight="1" x14ac:dyDescent="0.2">
      <c r="A218" s="1">
        <v>1998</v>
      </c>
      <c r="B218" s="1">
        <v>6</v>
      </c>
      <c r="C218" s="1">
        <v>10</v>
      </c>
      <c r="E218" s="1">
        <v>6</v>
      </c>
      <c r="F218" s="1">
        <v>27</v>
      </c>
      <c r="H218" s="1">
        <v>9</v>
      </c>
      <c r="I218" s="1">
        <v>30</v>
      </c>
      <c r="K218" s="1">
        <v>10</v>
      </c>
      <c r="L218" s="1">
        <v>10</v>
      </c>
    </row>
    <row r="219" spans="1:12" ht="15" customHeight="1" x14ac:dyDescent="0.2">
      <c r="A219" s="1">
        <v>1999</v>
      </c>
      <c r="B219" s="1">
        <v>6</v>
      </c>
      <c r="C219" s="1">
        <v>6</v>
      </c>
      <c r="E219" s="1">
        <v>6</v>
      </c>
      <c r="F219" s="1">
        <v>11</v>
      </c>
      <c r="H219" s="1">
        <v>9</v>
      </c>
      <c r="I219" s="1">
        <v>29</v>
      </c>
      <c r="K219" s="1">
        <v>10</v>
      </c>
      <c r="L219" s="1">
        <v>9</v>
      </c>
    </row>
    <row r="220" spans="1:12" ht="15" customHeight="1" x14ac:dyDescent="0.2">
      <c r="A220" s="1">
        <v>2000</v>
      </c>
      <c r="B220" s="1">
        <v>5</v>
      </c>
      <c r="C220" s="1">
        <v>13</v>
      </c>
      <c r="E220" s="1">
        <v>5</v>
      </c>
      <c r="F220" s="1">
        <v>23</v>
      </c>
      <c r="H220" s="1">
        <v>9</v>
      </c>
      <c r="I220" s="1">
        <v>20</v>
      </c>
      <c r="K220" s="1">
        <v>11</v>
      </c>
      <c r="L220" s="1">
        <v>2</v>
      </c>
    </row>
    <row r="221" spans="1:12" ht="15" customHeight="1" x14ac:dyDescent="0.2">
      <c r="A221" s="1">
        <v>2001</v>
      </c>
      <c r="B221" s="1">
        <v>5</v>
      </c>
      <c r="C221" s="1">
        <v>9</v>
      </c>
      <c r="E221" s="1">
        <v>6</v>
      </c>
      <c r="F221" s="1">
        <v>15</v>
      </c>
      <c r="H221" s="1">
        <v>9</v>
      </c>
      <c r="I221" s="1">
        <v>26</v>
      </c>
      <c r="K221" s="1">
        <v>10</v>
      </c>
      <c r="L221" s="1">
        <v>9</v>
      </c>
    </row>
    <row r="222" spans="1:12" ht="15" customHeight="1" x14ac:dyDescent="0.2">
      <c r="A222" s="1">
        <v>2002</v>
      </c>
      <c r="B222" s="1">
        <v>5</v>
      </c>
      <c r="C222" s="1">
        <v>23</v>
      </c>
      <c r="E222" s="1">
        <v>5</v>
      </c>
      <c r="F222" s="1">
        <v>23</v>
      </c>
      <c r="H222" s="1">
        <v>9</v>
      </c>
      <c r="I222" s="1">
        <v>29</v>
      </c>
      <c r="K222" s="1">
        <v>10</v>
      </c>
      <c r="L222" s="1">
        <v>8</v>
      </c>
    </row>
    <row r="223" spans="1:12" ht="15" customHeight="1" x14ac:dyDescent="0.2">
      <c r="A223" s="1">
        <v>2003</v>
      </c>
      <c r="B223" s="1">
        <v>5</v>
      </c>
      <c r="C223" s="1">
        <v>12</v>
      </c>
      <c r="E223" s="1">
        <v>5</v>
      </c>
      <c r="F223" s="1">
        <v>12</v>
      </c>
      <c r="H223" s="1">
        <v>10</v>
      </c>
      <c r="I223" s="1">
        <v>19</v>
      </c>
      <c r="K223" s="1">
        <v>10</v>
      </c>
      <c r="L223" s="1">
        <v>27</v>
      </c>
    </row>
    <row r="224" spans="1:12" ht="15" customHeight="1" x14ac:dyDescent="0.2">
      <c r="A224" s="1">
        <v>2004</v>
      </c>
      <c r="B224" s="1">
        <v>6</v>
      </c>
      <c r="C224" s="1">
        <v>11</v>
      </c>
      <c r="E224" s="1">
        <v>6</v>
      </c>
      <c r="F224" s="1">
        <v>12</v>
      </c>
      <c r="H224" s="1">
        <v>9</v>
      </c>
      <c r="I224" s="1">
        <v>11</v>
      </c>
      <c r="K224" s="1">
        <v>9</v>
      </c>
      <c r="L224" s="1">
        <v>21</v>
      </c>
    </row>
    <row r="225" spans="1:12" ht="15" customHeight="1" x14ac:dyDescent="0.2">
      <c r="A225" s="1">
        <v>2005</v>
      </c>
      <c r="B225" s="1">
        <v>5</v>
      </c>
      <c r="C225" s="1">
        <v>13</v>
      </c>
      <c r="E225" s="1">
        <v>6</v>
      </c>
      <c r="F225" s="1">
        <v>19</v>
      </c>
      <c r="H225" s="1">
        <v>9</v>
      </c>
      <c r="I225" s="1">
        <v>14</v>
      </c>
      <c r="K225" s="1">
        <v>10</v>
      </c>
      <c r="L225" s="1">
        <v>11</v>
      </c>
    </row>
    <row r="226" spans="1:12" ht="15" customHeight="1" x14ac:dyDescent="0.2">
      <c r="A226" s="1">
        <v>2006</v>
      </c>
      <c r="B226" s="1">
        <v>5</v>
      </c>
      <c r="C226" s="1">
        <v>17</v>
      </c>
      <c r="E226" s="1">
        <v>5</v>
      </c>
      <c r="F226" s="1">
        <v>25</v>
      </c>
      <c r="H226" s="1">
        <v>9</v>
      </c>
      <c r="I226" s="1">
        <v>16</v>
      </c>
      <c r="K226" s="1">
        <v>10</v>
      </c>
      <c r="L226" s="1">
        <v>19</v>
      </c>
    </row>
    <row r="227" spans="1:12" ht="15" customHeight="1" x14ac:dyDescent="0.2">
      <c r="A227" s="1">
        <v>2007</v>
      </c>
      <c r="B227" s="1">
        <v>6</v>
      </c>
      <c r="C227" s="1">
        <v>28</v>
      </c>
      <c r="E227" s="1">
        <v>6</v>
      </c>
      <c r="F227" s="1">
        <v>28</v>
      </c>
      <c r="H227" s="1">
        <v>9</v>
      </c>
      <c r="I227" s="1">
        <v>3</v>
      </c>
      <c r="K227" s="1">
        <v>9</v>
      </c>
      <c r="L227" s="1">
        <v>19</v>
      </c>
    </row>
    <row r="228" spans="1:12" ht="15" customHeight="1" x14ac:dyDescent="0.2">
      <c r="A228" s="1">
        <v>2008</v>
      </c>
      <c r="B228" s="1">
        <v>5</v>
      </c>
      <c r="C228" s="1">
        <v>23</v>
      </c>
      <c r="E228" s="1">
        <v>6</v>
      </c>
      <c r="F228" s="1">
        <v>6</v>
      </c>
      <c r="H228" s="1">
        <v>9</v>
      </c>
      <c r="I228" s="1">
        <v>14</v>
      </c>
      <c r="K228" s="1">
        <v>9</v>
      </c>
      <c r="L228" s="1">
        <v>30</v>
      </c>
    </row>
    <row r="229" spans="1:12" ht="15" customHeight="1" x14ac:dyDescent="0.2">
      <c r="A229" s="1">
        <v>2009</v>
      </c>
      <c r="B229" s="1">
        <v>5</v>
      </c>
      <c r="C229" s="1">
        <v>1</v>
      </c>
      <c r="E229" s="1">
        <v>5</v>
      </c>
      <c r="F229" s="1">
        <v>26</v>
      </c>
      <c r="H229" s="1">
        <v>9</v>
      </c>
      <c r="I229" s="1">
        <v>15</v>
      </c>
      <c r="K229" s="1">
        <v>9</v>
      </c>
      <c r="L229" s="1">
        <v>16</v>
      </c>
    </row>
    <row r="230" spans="1:12" ht="15" customHeight="1" x14ac:dyDescent="0.2">
      <c r="A230" s="1">
        <v>2010</v>
      </c>
      <c r="B230" s="1">
        <v>6</v>
      </c>
      <c r="C230" s="1">
        <v>13</v>
      </c>
      <c r="E230" s="1">
        <v>6</v>
      </c>
      <c r="F230" s="1">
        <v>23</v>
      </c>
      <c r="H230" s="1">
        <v>9</v>
      </c>
      <c r="I230" s="1">
        <v>11</v>
      </c>
      <c r="K230" s="1">
        <v>10</v>
      </c>
      <c r="L230" s="1">
        <v>9</v>
      </c>
    </row>
    <row r="231" spans="1:12" ht="15" customHeight="1" x14ac:dyDescent="0.2">
      <c r="A231" s="1">
        <v>2011</v>
      </c>
      <c r="B231" s="1">
        <v>6</v>
      </c>
      <c r="C231" s="1">
        <v>12</v>
      </c>
      <c r="E231" s="1">
        <v>6</v>
      </c>
      <c r="F231" s="1">
        <v>21</v>
      </c>
      <c r="H231" s="1">
        <v>9</v>
      </c>
      <c r="I231" s="1">
        <v>23</v>
      </c>
      <c r="K231" s="1">
        <v>10</v>
      </c>
      <c r="L231" s="1">
        <v>8</v>
      </c>
    </row>
    <row r="232" spans="1:12" ht="15" customHeight="1" x14ac:dyDescent="0.2">
      <c r="A232" s="1">
        <v>2012</v>
      </c>
      <c r="B232" s="1">
        <v>5</v>
      </c>
      <c r="C232" s="1">
        <v>31</v>
      </c>
      <c r="E232" s="1">
        <v>6</v>
      </c>
      <c r="F232" s="1">
        <v>9</v>
      </c>
      <c r="H232" s="1">
        <v>9</v>
      </c>
      <c r="I232" s="1">
        <v>15</v>
      </c>
      <c r="K232" s="1">
        <v>9</v>
      </c>
      <c r="L232" s="1">
        <v>30</v>
      </c>
    </row>
    <row r="233" spans="1:12" ht="15" customHeight="1" x14ac:dyDescent="0.2">
      <c r="A233" s="1">
        <v>2013</v>
      </c>
      <c r="B233" s="1">
        <v>5</v>
      </c>
      <c r="C233" s="1">
        <v>28</v>
      </c>
      <c r="E233" s="1">
        <v>6</v>
      </c>
      <c r="F233" s="1">
        <v>23</v>
      </c>
      <c r="H233" s="1">
        <v>9</v>
      </c>
      <c r="I233" s="1">
        <v>23</v>
      </c>
      <c r="K233" s="1">
        <v>9</v>
      </c>
      <c r="L233" s="1">
        <v>28</v>
      </c>
    </row>
    <row r="234" spans="1:12" ht="15" customHeight="1" x14ac:dyDescent="0.2">
      <c r="A234" s="1">
        <v>2014</v>
      </c>
      <c r="B234" s="1">
        <v>6</v>
      </c>
      <c r="C234" s="1">
        <v>7</v>
      </c>
      <c r="E234" s="1">
        <v>6</v>
      </c>
      <c r="F234" s="1">
        <v>16</v>
      </c>
      <c r="H234" s="1">
        <v>9</v>
      </c>
      <c r="I234" s="1">
        <v>30</v>
      </c>
      <c r="K234" s="1">
        <v>9</v>
      </c>
      <c r="L234" s="1">
        <v>30</v>
      </c>
    </row>
    <row r="235" spans="1:12" ht="15" customHeight="1" x14ac:dyDescent="0.2">
      <c r="A235" s="1">
        <v>2015</v>
      </c>
      <c r="B235" s="1">
        <v>5</v>
      </c>
      <c r="C235" s="1">
        <v>11</v>
      </c>
      <c r="E235" s="1">
        <v>5</v>
      </c>
      <c r="F235" s="1">
        <v>20</v>
      </c>
      <c r="H235" s="1">
        <v>10</v>
      </c>
      <c r="I235" s="1">
        <v>28</v>
      </c>
      <c r="K235" s="1">
        <v>11</v>
      </c>
      <c r="L235" s="1">
        <v>2</v>
      </c>
    </row>
    <row r="236" spans="1:12" ht="15" customHeight="1" x14ac:dyDescent="0.2">
      <c r="A236" s="1">
        <v>2016</v>
      </c>
      <c r="B236" s="1">
        <v>5</v>
      </c>
      <c r="C236" s="1">
        <v>3</v>
      </c>
      <c r="E236" s="1">
        <v>6</v>
      </c>
      <c r="F236" s="1">
        <v>7</v>
      </c>
      <c r="H236" s="1">
        <v>10</v>
      </c>
      <c r="I236" s="1">
        <v>20</v>
      </c>
      <c r="K236" s="1">
        <v>10</v>
      </c>
      <c r="L236" s="1">
        <v>29</v>
      </c>
    </row>
    <row r="237" spans="1:12" ht="15" customHeight="1" x14ac:dyDescent="0.2">
      <c r="A237" s="1">
        <v>2017</v>
      </c>
      <c r="B237" s="1">
        <v>3</v>
      </c>
      <c r="C237" s="1">
        <v>30</v>
      </c>
      <c r="E237" s="1">
        <v>6</v>
      </c>
      <c r="F237" s="1">
        <v>16</v>
      </c>
      <c r="H237" s="1">
        <v>10</v>
      </c>
      <c r="I237" s="1">
        <v>12</v>
      </c>
      <c r="K237" s="1">
        <v>10</v>
      </c>
      <c r="L237" s="1">
        <v>31</v>
      </c>
    </row>
    <row r="238" spans="1:12" ht="15" customHeight="1" x14ac:dyDescent="0.2">
      <c r="A238" s="1">
        <v>2018</v>
      </c>
      <c r="B238" s="1">
        <v>5</v>
      </c>
      <c r="C238" s="1">
        <v>3</v>
      </c>
      <c r="E238" s="1">
        <v>5</v>
      </c>
      <c r="F238" s="1">
        <v>3</v>
      </c>
      <c r="H238" s="1">
        <v>11</v>
      </c>
      <c r="I238" s="1">
        <v>1</v>
      </c>
      <c r="K238" s="1">
        <v>11</v>
      </c>
      <c r="L238" s="1">
        <v>1</v>
      </c>
    </row>
    <row r="239" spans="1:12" ht="15" customHeight="1" x14ac:dyDescent="0.2">
      <c r="A239" s="1">
        <v>2019</v>
      </c>
      <c r="B239" s="1">
        <v>3</v>
      </c>
      <c r="C239" s="1">
        <v>22</v>
      </c>
      <c r="E239" s="1">
        <v>3</v>
      </c>
      <c r="F239" s="1">
        <v>22</v>
      </c>
      <c r="H239" s="1">
        <v>10</v>
      </c>
      <c r="I239" s="1">
        <v>11</v>
      </c>
      <c r="K239" s="1">
        <v>10</v>
      </c>
      <c r="L239" s="1">
        <v>11</v>
      </c>
    </row>
    <row r="240" spans="1:12" ht="15" customHeight="1" x14ac:dyDescent="0.2">
      <c r="A240" s="1">
        <v>2020</v>
      </c>
      <c r="B240" s="1">
        <v>5</v>
      </c>
      <c r="C240" s="1">
        <v>22</v>
      </c>
      <c r="E240" s="1">
        <v>5</v>
      </c>
      <c r="F240" s="1">
        <v>27</v>
      </c>
      <c r="H240" s="1">
        <v>11</v>
      </c>
      <c r="I240" s="1">
        <v>4</v>
      </c>
      <c r="K240" s="1">
        <v>11</v>
      </c>
      <c r="L240" s="1">
        <v>4</v>
      </c>
    </row>
    <row r="241" spans="1:12" ht="15" customHeight="1" x14ac:dyDescent="0.2">
      <c r="A241" s="1">
        <v>2021</v>
      </c>
      <c r="B241" s="1">
        <v>5</v>
      </c>
      <c r="C241" s="1">
        <v>24</v>
      </c>
      <c r="E241" s="1">
        <v>5</v>
      </c>
      <c r="F241" s="1">
        <v>24</v>
      </c>
      <c r="H241" s="1">
        <v>10</v>
      </c>
      <c r="I241" s="1">
        <v>11</v>
      </c>
      <c r="K241" s="1">
        <v>10</v>
      </c>
      <c r="L241" s="1">
        <v>11</v>
      </c>
    </row>
    <row r="242" spans="1:12" ht="15" customHeight="1" x14ac:dyDescent="0.2">
      <c r="A242" s="1">
        <v>2022</v>
      </c>
      <c r="B242" s="1">
        <v>5</v>
      </c>
      <c r="C242" s="1">
        <v>14</v>
      </c>
      <c r="E242" s="1">
        <v>5</v>
      </c>
      <c r="F242" s="1">
        <v>25</v>
      </c>
      <c r="H242" s="1">
        <v>10</v>
      </c>
      <c r="I242" s="1">
        <v>13</v>
      </c>
      <c r="K242" s="1">
        <v>10</v>
      </c>
      <c r="L242" s="1">
        <v>20</v>
      </c>
    </row>
    <row r="243" spans="1:12" ht="15" customHeight="1" x14ac:dyDescent="0.2">
      <c r="A243" s="1">
        <v>2023</v>
      </c>
      <c r="B243" s="1">
        <v>4</v>
      </c>
      <c r="C243" s="1">
        <v>3</v>
      </c>
      <c r="E243" s="1">
        <v>4</v>
      </c>
      <c r="F243" s="1">
        <v>4</v>
      </c>
      <c r="H243" s="1">
        <v>10</v>
      </c>
      <c r="I243" s="1">
        <v>12</v>
      </c>
      <c r="K243" s="1">
        <v>10</v>
      </c>
      <c r="L243" s="1">
        <v>29</v>
      </c>
    </row>
    <row r="244" spans="1:12" ht="15" customHeight="1" x14ac:dyDescent="0.2">
      <c r="A244" s="1">
        <v>2024</v>
      </c>
      <c r="B244" s="1">
        <v>5</v>
      </c>
      <c r="C244" s="1">
        <v>12</v>
      </c>
      <c r="E244" s="1">
        <v>5</v>
      </c>
      <c r="F244" s="1">
        <v>24</v>
      </c>
      <c r="H244" s="1">
        <v>10</v>
      </c>
      <c r="I244" s="1">
        <v>19</v>
      </c>
      <c r="K244" s="1">
        <v>10</v>
      </c>
      <c r="L244" s="1">
        <v>19</v>
      </c>
    </row>
  </sheetData>
  <sheetProtection algorithmName="SHA-512" hashValue="pF+lbeySJSXgXVOVsOs/lTpxjLHZyM82upN0WCRvodcAxovdSz8t5P+ohOyd/cm6QucyckpuQ7xfVetNpyfdtw==" saltValue="sed+DT3ghTd8VsnvCTTwhg==" spinCount="100000" sheet="1" objects="1" scenarios="1"/>
  <phoneticPr fontId="0" type="noConversion"/>
  <hyperlinks>
    <hyperlink ref="B180" r:id="rId1" display="https://wrcc.dri.edu/cgi-bin/rawMAIN.pl?nmXSLA" xr:uid="{00000000-0004-0000-0100-000000000000}"/>
  </hyperlinks>
  <printOptions horizontalCentered="1" gridLines="1"/>
  <pageMargins left="0.75" right="0.75" top="1" bottom="0.75" header="0.5" footer="0.5"/>
  <pageSetup scale="95" fitToHeight="4" orientation="portrait" r:id="rId2"/>
  <headerFooter alignWithMargins="0">
    <oddFooter>&amp;R&amp;9apache-aragon</oddFooter>
  </headerFooter>
  <rowBreaks count="3" manualBreakCount="3">
    <brk id="59" max="12" man="1"/>
    <brk id="118" max="12" man="1"/>
    <brk id="184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4"/>
  <sheetViews>
    <sheetView zoomScaleNormal="100" workbookViewId="0">
      <selection sqref="A1:XFD1"/>
    </sheetView>
  </sheetViews>
  <sheetFormatPr defaultColWidth="8.88671875" defaultRowHeight="15" customHeight="1" x14ac:dyDescent="0.2"/>
  <cols>
    <col min="1" max="1" width="9" style="1" customWidth="1"/>
    <col min="2" max="13" width="6" style="1" customWidth="1"/>
    <col min="14" max="16384" width="8.88671875" style="1"/>
  </cols>
  <sheetData>
    <row r="1" spans="1:13" ht="15" customHeight="1" x14ac:dyDescent="0.2">
      <c r="A1" s="2" t="s">
        <v>4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13"/>
      <c r="L1" s="2"/>
      <c r="M1" s="2"/>
    </row>
    <row r="2" spans="1:13" ht="15" customHeight="1" x14ac:dyDescent="0.2">
      <c r="A2" s="2"/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</row>
    <row r="3" spans="1:13" ht="15" customHeight="1" x14ac:dyDescent="0.2">
      <c r="A3" s="1">
        <v>1968</v>
      </c>
      <c r="B3" s="4">
        <v>0.76</v>
      </c>
      <c r="C3" s="4">
        <v>0.63</v>
      </c>
      <c r="D3" s="4">
        <v>1.1499999999999999</v>
      </c>
      <c r="E3" s="4">
        <v>0</v>
      </c>
      <c r="F3" s="4">
        <v>0</v>
      </c>
      <c r="G3" s="4">
        <v>0</v>
      </c>
      <c r="H3" s="4">
        <v>2.56</v>
      </c>
      <c r="I3" s="4">
        <v>2.02</v>
      </c>
      <c r="J3" s="4">
        <v>0</v>
      </c>
      <c r="K3" s="4">
        <v>0.68</v>
      </c>
      <c r="L3" s="4">
        <v>0.72</v>
      </c>
      <c r="M3" s="4">
        <v>2.08</v>
      </c>
    </row>
    <row r="4" spans="1:13" ht="15" customHeight="1" x14ac:dyDescent="0.2">
      <c r="A4" s="1">
        <v>1969</v>
      </c>
      <c r="B4" s="4">
        <v>0.28999999999999998</v>
      </c>
      <c r="C4" s="4">
        <v>1.22</v>
      </c>
      <c r="D4" s="4">
        <v>0.1</v>
      </c>
      <c r="E4" s="4">
        <v>0.16</v>
      </c>
      <c r="F4" s="4">
        <v>0.47</v>
      </c>
      <c r="G4" s="4">
        <v>0.01</v>
      </c>
      <c r="H4" s="4">
        <v>1.71</v>
      </c>
      <c r="I4" s="4">
        <v>1.98</v>
      </c>
      <c r="J4" s="4">
        <v>2.37</v>
      </c>
      <c r="K4" s="4">
        <v>0.94</v>
      </c>
      <c r="L4" s="4">
        <v>0.42</v>
      </c>
      <c r="M4" s="4">
        <v>1.21</v>
      </c>
    </row>
    <row r="5" spans="1:13" ht="15" customHeight="1" x14ac:dyDescent="0.2">
      <c r="A5" s="1">
        <v>1970</v>
      </c>
      <c r="B5" s="4">
        <v>0</v>
      </c>
      <c r="C5" s="4">
        <v>0.52</v>
      </c>
      <c r="D5" s="4">
        <v>1.26</v>
      </c>
      <c r="E5" s="4">
        <v>0.35</v>
      </c>
      <c r="F5" s="4">
        <v>0.32</v>
      </c>
      <c r="G5" s="4">
        <v>0.6</v>
      </c>
      <c r="H5" s="4">
        <v>3.68</v>
      </c>
      <c r="I5" s="4">
        <v>3.08</v>
      </c>
      <c r="J5" s="4">
        <v>0.44</v>
      </c>
      <c r="K5" s="4">
        <v>2.04</v>
      </c>
      <c r="L5" s="4">
        <v>0</v>
      </c>
      <c r="M5" s="4">
        <v>0.44</v>
      </c>
    </row>
    <row r="6" spans="1:13" ht="15" customHeight="1" x14ac:dyDescent="0.2">
      <c r="A6" s="1">
        <v>1971</v>
      </c>
      <c r="B6" s="4">
        <v>0.1</v>
      </c>
      <c r="C6" s="4">
        <v>0.45</v>
      </c>
      <c r="D6" s="4">
        <v>0</v>
      </c>
      <c r="E6" s="4">
        <v>0.51</v>
      </c>
      <c r="F6" s="4">
        <v>0.03</v>
      </c>
      <c r="G6" s="4">
        <v>0.02</v>
      </c>
      <c r="H6" s="4">
        <v>1.86</v>
      </c>
      <c r="I6" s="4">
        <v>2.81</v>
      </c>
      <c r="J6" s="4">
        <v>2.72</v>
      </c>
      <c r="K6" s="4">
        <v>5.85</v>
      </c>
      <c r="L6" s="4">
        <v>1.08</v>
      </c>
      <c r="M6" s="4">
        <v>2.5299999999999998</v>
      </c>
    </row>
    <row r="7" spans="1:13" ht="15" customHeight="1" x14ac:dyDescent="0.2">
      <c r="A7" s="1">
        <v>1972</v>
      </c>
      <c r="B7" s="4">
        <v>0</v>
      </c>
      <c r="C7" s="4">
        <v>0</v>
      </c>
      <c r="D7" s="4">
        <v>0</v>
      </c>
      <c r="E7" s="4">
        <v>0</v>
      </c>
      <c r="F7" s="4">
        <v>0.3</v>
      </c>
      <c r="G7" s="4">
        <v>2.58</v>
      </c>
      <c r="H7" s="4">
        <v>1.56</v>
      </c>
      <c r="I7" s="4">
        <v>4.8600000000000003</v>
      </c>
      <c r="J7" s="4">
        <v>1.67</v>
      </c>
      <c r="K7" s="4">
        <v>6.68</v>
      </c>
      <c r="L7" s="4">
        <v>1</v>
      </c>
      <c r="M7" s="4">
        <v>1.21</v>
      </c>
    </row>
    <row r="8" spans="1:13" ht="15" customHeight="1" x14ac:dyDescent="0.2">
      <c r="A8" s="1">
        <v>1973</v>
      </c>
      <c r="B8" s="4">
        <v>0.3</v>
      </c>
      <c r="C8" s="4">
        <v>1.66</v>
      </c>
      <c r="D8" s="4">
        <v>1.92</v>
      </c>
      <c r="E8" s="4">
        <v>0.57999999999999996</v>
      </c>
      <c r="F8" s="4">
        <v>1.37</v>
      </c>
      <c r="G8" s="4">
        <v>0.52</v>
      </c>
      <c r="H8" s="4">
        <v>1.45</v>
      </c>
      <c r="I8" s="4">
        <v>1.33</v>
      </c>
      <c r="J8" s="4">
        <v>0.52</v>
      </c>
      <c r="K8" s="4">
        <v>0.04</v>
      </c>
      <c r="L8" s="4">
        <v>0.17</v>
      </c>
      <c r="M8" s="4">
        <v>0</v>
      </c>
    </row>
    <row r="9" spans="1:13" ht="15" customHeight="1" x14ac:dyDescent="0.2">
      <c r="A9" s="1">
        <v>1974</v>
      </c>
      <c r="B9" s="4">
        <v>1.46</v>
      </c>
      <c r="C9" s="4">
        <v>0.03</v>
      </c>
      <c r="D9" s="4">
        <v>0.83</v>
      </c>
      <c r="E9" s="4">
        <v>0.05</v>
      </c>
      <c r="F9" s="4">
        <v>0.08</v>
      </c>
      <c r="G9" s="4">
        <v>0</v>
      </c>
      <c r="H9" s="4">
        <v>2.79</v>
      </c>
      <c r="I9" s="4">
        <v>3.71</v>
      </c>
      <c r="J9" s="4">
        <v>2.06</v>
      </c>
      <c r="K9" s="4">
        <v>3.76</v>
      </c>
      <c r="L9" s="4">
        <v>0.64</v>
      </c>
      <c r="M9" s="4">
        <v>0.84</v>
      </c>
    </row>
    <row r="10" spans="1:13" ht="15" customHeight="1" x14ac:dyDescent="0.2">
      <c r="A10" s="1">
        <v>1975</v>
      </c>
      <c r="B10" s="4">
        <v>1.63</v>
      </c>
      <c r="C10" s="4">
        <v>0.47</v>
      </c>
      <c r="D10" s="4">
        <v>1.77</v>
      </c>
      <c r="E10" s="4">
        <v>0.31</v>
      </c>
      <c r="F10" s="4">
        <v>0.32</v>
      </c>
      <c r="G10" s="4">
        <v>0.03</v>
      </c>
      <c r="H10" s="4">
        <v>3.64</v>
      </c>
      <c r="I10" s="4">
        <v>1.02</v>
      </c>
      <c r="J10" s="4">
        <v>5.47</v>
      </c>
      <c r="K10" s="4">
        <v>0.61</v>
      </c>
      <c r="L10" s="4">
        <v>0.21</v>
      </c>
      <c r="M10" s="4">
        <v>0.68</v>
      </c>
    </row>
    <row r="11" spans="1:13" ht="15" customHeight="1" x14ac:dyDescent="0.2">
      <c r="A11" s="1">
        <v>1976</v>
      </c>
      <c r="B11" s="4">
        <v>0.15</v>
      </c>
      <c r="C11" s="4">
        <v>2.86</v>
      </c>
      <c r="D11" s="4">
        <v>0.8</v>
      </c>
      <c r="E11" s="4">
        <v>0.43</v>
      </c>
      <c r="F11" s="4">
        <v>0.93</v>
      </c>
      <c r="G11" s="4">
        <v>0.9</v>
      </c>
      <c r="H11" s="4">
        <v>3.96</v>
      </c>
      <c r="I11" s="4">
        <v>1.06</v>
      </c>
      <c r="J11" s="4">
        <v>1.7</v>
      </c>
      <c r="K11" s="4">
        <v>0.76</v>
      </c>
      <c r="L11" s="4">
        <v>0.53</v>
      </c>
      <c r="M11" s="4">
        <v>0</v>
      </c>
    </row>
    <row r="12" spans="1:13" ht="15" customHeight="1" x14ac:dyDescent="0.2">
      <c r="A12" s="1">
        <v>1977</v>
      </c>
      <c r="B12" s="4">
        <v>0.56999999999999995</v>
      </c>
      <c r="C12" s="4">
        <v>0.42</v>
      </c>
      <c r="D12" s="4">
        <v>0.93</v>
      </c>
      <c r="E12" s="4">
        <v>0.25</v>
      </c>
      <c r="F12" s="4">
        <v>0.08</v>
      </c>
      <c r="G12" s="4">
        <v>0.84</v>
      </c>
      <c r="H12" s="4">
        <v>3.25</v>
      </c>
      <c r="I12" s="4">
        <v>3</v>
      </c>
      <c r="J12" s="4">
        <v>2.83</v>
      </c>
      <c r="K12" s="4">
        <v>1.17</v>
      </c>
      <c r="L12" s="4">
        <v>1.1000000000000001</v>
      </c>
      <c r="M12" s="4">
        <v>0.24</v>
      </c>
    </row>
    <row r="13" spans="1:13" ht="15" customHeight="1" x14ac:dyDescent="0.2">
      <c r="A13" s="1">
        <v>1978</v>
      </c>
      <c r="B13" s="4">
        <v>1.8</v>
      </c>
      <c r="C13" s="4">
        <v>2.38</v>
      </c>
      <c r="D13" s="4">
        <v>2.79</v>
      </c>
      <c r="E13" s="4">
        <v>0.19</v>
      </c>
      <c r="F13" s="4">
        <v>0.9</v>
      </c>
      <c r="G13" s="4">
        <v>1.19</v>
      </c>
      <c r="H13" s="4">
        <v>2.33</v>
      </c>
      <c r="I13" s="4">
        <v>2.2799999999999998</v>
      </c>
      <c r="J13" s="4">
        <v>0.72</v>
      </c>
      <c r="K13" s="4">
        <v>2.0299999999999998</v>
      </c>
      <c r="L13" s="4">
        <v>5.59</v>
      </c>
      <c r="M13" s="4">
        <v>3.51</v>
      </c>
    </row>
    <row r="14" spans="1:13" ht="15" customHeight="1" x14ac:dyDescent="0.2">
      <c r="A14" s="1">
        <v>1979</v>
      </c>
      <c r="B14" s="4">
        <v>2.81</v>
      </c>
      <c r="C14" s="4">
        <v>1.19</v>
      </c>
      <c r="D14" s="4">
        <v>1</v>
      </c>
      <c r="E14" s="4">
        <v>0.3</v>
      </c>
      <c r="F14" s="4">
        <v>2.17</v>
      </c>
      <c r="G14" s="4">
        <v>1.92</v>
      </c>
      <c r="H14" s="4">
        <v>3.01</v>
      </c>
      <c r="I14" s="4">
        <v>3.58</v>
      </c>
      <c r="J14" s="4">
        <v>0.87</v>
      </c>
      <c r="K14" s="4">
        <v>0.55000000000000004</v>
      </c>
      <c r="L14" s="4">
        <v>0.43</v>
      </c>
      <c r="M14" s="4">
        <v>1.61</v>
      </c>
    </row>
    <row r="15" spans="1:13" ht="15" customHeight="1" x14ac:dyDescent="0.2">
      <c r="A15" s="1">
        <v>1980</v>
      </c>
      <c r="B15" s="4">
        <v>2.39</v>
      </c>
      <c r="C15" s="4">
        <v>2.82</v>
      </c>
      <c r="D15" s="4">
        <v>0.89</v>
      </c>
      <c r="E15" s="4">
        <v>0.43</v>
      </c>
      <c r="F15" s="4">
        <v>0.63</v>
      </c>
      <c r="G15" s="4">
        <v>0.05</v>
      </c>
      <c r="H15" s="4">
        <v>1.81</v>
      </c>
      <c r="I15" s="4">
        <v>3.65</v>
      </c>
      <c r="J15" s="4">
        <v>1.4</v>
      </c>
      <c r="K15" s="4">
        <v>1.25</v>
      </c>
      <c r="L15" s="4">
        <v>0</v>
      </c>
      <c r="M15" s="4">
        <v>0.48</v>
      </c>
    </row>
    <row r="16" spans="1:13" ht="15" customHeight="1" x14ac:dyDescent="0.2">
      <c r="A16" s="1">
        <v>1981</v>
      </c>
      <c r="B16" s="4">
        <v>0.45</v>
      </c>
      <c r="C16" s="4">
        <v>0.16</v>
      </c>
      <c r="D16" s="4">
        <v>2.95</v>
      </c>
      <c r="E16" s="4">
        <v>0.94</v>
      </c>
      <c r="F16" s="4">
        <v>0.31</v>
      </c>
      <c r="G16" s="4">
        <v>0.33</v>
      </c>
      <c r="H16" s="4">
        <v>3.29</v>
      </c>
      <c r="I16" s="4">
        <v>2.25</v>
      </c>
      <c r="J16" s="4">
        <v>1.29</v>
      </c>
      <c r="K16" s="4">
        <v>0.78</v>
      </c>
      <c r="L16" s="4">
        <v>0.68</v>
      </c>
      <c r="M16" s="4">
        <v>0</v>
      </c>
    </row>
    <row r="17" spans="1:13" ht="15" customHeight="1" x14ac:dyDescent="0.2">
      <c r="A17" s="1">
        <v>1982</v>
      </c>
      <c r="B17" s="4">
        <v>1.32</v>
      </c>
      <c r="C17" s="4">
        <v>1.67</v>
      </c>
      <c r="D17" s="4">
        <v>1.59</v>
      </c>
      <c r="E17" s="4">
        <v>0.03</v>
      </c>
      <c r="F17" s="4">
        <v>1.34</v>
      </c>
      <c r="G17" s="4">
        <v>0</v>
      </c>
      <c r="H17" s="4">
        <v>0.83</v>
      </c>
      <c r="I17" s="4">
        <v>3</v>
      </c>
      <c r="J17" s="4">
        <v>1.53</v>
      </c>
      <c r="K17" s="4">
        <v>0</v>
      </c>
      <c r="L17" s="4">
        <v>3.16</v>
      </c>
      <c r="M17" s="4">
        <v>3.46</v>
      </c>
    </row>
    <row r="18" spans="1:13" ht="15" customHeight="1" x14ac:dyDescent="0.2">
      <c r="A18" s="1">
        <v>1983</v>
      </c>
      <c r="B18" s="4">
        <v>1.96</v>
      </c>
      <c r="C18" s="4">
        <v>1.1499999999999999</v>
      </c>
      <c r="D18" s="4">
        <v>2.25</v>
      </c>
      <c r="E18" s="4">
        <v>0.11</v>
      </c>
      <c r="F18" s="4">
        <v>0.06</v>
      </c>
      <c r="G18" s="4">
        <v>0.94</v>
      </c>
      <c r="H18" s="4">
        <v>4.13</v>
      </c>
      <c r="I18" s="4">
        <v>3.21</v>
      </c>
      <c r="J18" s="4">
        <v>4.82</v>
      </c>
      <c r="K18" s="4">
        <v>3.94</v>
      </c>
      <c r="L18" s="4">
        <v>1.61</v>
      </c>
      <c r="M18" s="4">
        <v>0.71</v>
      </c>
    </row>
    <row r="19" spans="1:13" ht="15" customHeight="1" x14ac:dyDescent="0.2">
      <c r="A19" s="1">
        <v>1984</v>
      </c>
      <c r="B19" s="4">
        <v>1.25</v>
      </c>
      <c r="C19" s="4">
        <v>0</v>
      </c>
      <c r="D19" s="4">
        <v>0.32</v>
      </c>
      <c r="E19" s="4">
        <v>0.89</v>
      </c>
      <c r="F19" s="4">
        <v>0.23</v>
      </c>
      <c r="G19" s="4">
        <v>1.32</v>
      </c>
      <c r="H19" s="4">
        <v>3.48</v>
      </c>
      <c r="I19" s="4">
        <v>5.86</v>
      </c>
      <c r="J19" s="4">
        <v>1.05</v>
      </c>
      <c r="K19" s="4">
        <v>2.81</v>
      </c>
      <c r="L19" s="4">
        <v>0.85</v>
      </c>
      <c r="M19" s="4">
        <v>4.41</v>
      </c>
    </row>
    <row r="20" spans="1:13" ht="15" customHeight="1" x14ac:dyDescent="0.2">
      <c r="A20" s="1">
        <v>1985</v>
      </c>
      <c r="B20" s="4">
        <v>1.38</v>
      </c>
      <c r="C20" s="4">
        <v>0.9</v>
      </c>
      <c r="D20" s="4">
        <v>1.38</v>
      </c>
      <c r="E20" s="4">
        <v>1.41</v>
      </c>
      <c r="F20" s="4">
        <v>0.38</v>
      </c>
      <c r="G20" s="4">
        <v>0.72</v>
      </c>
      <c r="H20" s="4">
        <v>2.13</v>
      </c>
      <c r="I20" s="4">
        <v>2.41</v>
      </c>
      <c r="J20" s="4">
        <v>4.7699999999999996</v>
      </c>
      <c r="K20" s="4">
        <v>2.6</v>
      </c>
      <c r="L20" s="4">
        <v>1.59</v>
      </c>
      <c r="M20" s="4">
        <v>0.64</v>
      </c>
    </row>
    <row r="21" spans="1:13" ht="15" customHeight="1" x14ac:dyDescent="0.2">
      <c r="A21" s="1">
        <v>1986</v>
      </c>
      <c r="B21" s="4">
        <v>0.09</v>
      </c>
      <c r="C21" s="4">
        <v>2.25</v>
      </c>
      <c r="D21" s="4">
        <v>0.59</v>
      </c>
      <c r="E21" s="4">
        <v>0.27</v>
      </c>
      <c r="F21" s="4">
        <v>0.25</v>
      </c>
      <c r="G21" s="4">
        <v>1.99</v>
      </c>
      <c r="H21" s="4">
        <v>4.0999999999999996</v>
      </c>
      <c r="I21" s="4">
        <v>2.2200000000000002</v>
      </c>
      <c r="J21" s="4">
        <v>1.1200000000000001</v>
      </c>
      <c r="K21" s="4">
        <v>2.87</v>
      </c>
      <c r="L21" s="4">
        <v>1.72</v>
      </c>
      <c r="M21" s="4">
        <v>1.06</v>
      </c>
    </row>
    <row r="22" spans="1:13" ht="15" customHeight="1" x14ac:dyDescent="0.2">
      <c r="A22" s="1">
        <v>1987</v>
      </c>
      <c r="B22" s="4">
        <v>0.97</v>
      </c>
      <c r="C22" s="4">
        <v>1.79</v>
      </c>
      <c r="D22" s="4">
        <v>0.76</v>
      </c>
      <c r="E22" s="4">
        <v>0.49</v>
      </c>
      <c r="F22" s="4">
        <v>1.03</v>
      </c>
      <c r="G22" s="4">
        <v>0.51</v>
      </c>
      <c r="H22" s="4">
        <v>2.46</v>
      </c>
      <c r="I22" s="4">
        <v>2.41</v>
      </c>
      <c r="J22" s="4">
        <v>0.97</v>
      </c>
      <c r="K22" s="4">
        <v>0.98</v>
      </c>
      <c r="L22" s="4">
        <v>1.62</v>
      </c>
      <c r="M22" s="4">
        <v>2.2999999999999998</v>
      </c>
    </row>
    <row r="23" spans="1:13" ht="15" customHeight="1" x14ac:dyDescent="0.2">
      <c r="A23" s="1">
        <v>1988</v>
      </c>
      <c r="B23" s="4">
        <v>0.83</v>
      </c>
      <c r="C23" s="4">
        <v>1.37</v>
      </c>
      <c r="D23" s="4">
        <v>0.05</v>
      </c>
      <c r="E23" s="4">
        <v>2.41</v>
      </c>
      <c r="F23" s="4">
        <v>0.02</v>
      </c>
      <c r="G23" s="4">
        <v>1.4</v>
      </c>
      <c r="H23" s="4">
        <v>0.94</v>
      </c>
      <c r="I23" s="4">
        <v>4.96</v>
      </c>
      <c r="J23" s="4">
        <v>1.19</v>
      </c>
      <c r="K23" s="4">
        <v>1.62</v>
      </c>
      <c r="L23" s="4">
        <v>0.23</v>
      </c>
      <c r="M23" s="4">
        <v>0.6</v>
      </c>
    </row>
    <row r="24" spans="1:13" ht="15" customHeight="1" x14ac:dyDescent="0.2">
      <c r="A24" s="1">
        <v>1989</v>
      </c>
      <c r="B24" s="4">
        <v>1.54</v>
      </c>
      <c r="C24" s="4">
        <v>0.19</v>
      </c>
      <c r="D24" s="4">
        <v>0.41</v>
      </c>
      <c r="E24" s="4">
        <v>0</v>
      </c>
      <c r="F24" s="4">
        <v>0.43</v>
      </c>
      <c r="G24" s="4">
        <v>0</v>
      </c>
      <c r="H24" s="4">
        <v>2.35</v>
      </c>
      <c r="I24" s="4">
        <v>0.93</v>
      </c>
      <c r="J24" s="4">
        <v>0.46</v>
      </c>
      <c r="K24" s="4">
        <v>1.88</v>
      </c>
      <c r="L24" s="4">
        <v>0.14000000000000001</v>
      </c>
      <c r="M24" s="4">
        <v>0.3</v>
      </c>
    </row>
    <row r="25" spans="1:13" ht="15" customHeight="1" x14ac:dyDescent="0.2">
      <c r="A25" s="1">
        <v>1990</v>
      </c>
      <c r="B25" s="4">
        <v>0.61</v>
      </c>
      <c r="C25" s="4">
        <v>0.59</v>
      </c>
      <c r="D25" s="4">
        <v>0.52</v>
      </c>
      <c r="E25" s="4">
        <v>0.5</v>
      </c>
      <c r="F25" s="4">
        <v>0.63</v>
      </c>
      <c r="G25" s="4">
        <v>0.34</v>
      </c>
      <c r="H25" s="4">
        <v>3.77</v>
      </c>
      <c r="I25" s="4">
        <v>2</v>
      </c>
      <c r="J25" s="4">
        <v>3.11</v>
      </c>
      <c r="K25" s="4">
        <v>0.28000000000000003</v>
      </c>
      <c r="L25" s="4">
        <v>2.61</v>
      </c>
      <c r="M25" s="4">
        <v>1.4</v>
      </c>
    </row>
    <row r="26" spans="1:13" ht="15" customHeight="1" x14ac:dyDescent="0.2">
      <c r="A26" s="1">
        <v>1991</v>
      </c>
      <c r="B26" s="4">
        <v>0.66</v>
      </c>
      <c r="C26" s="4">
        <v>1.1000000000000001</v>
      </c>
      <c r="D26" s="4">
        <v>2</v>
      </c>
      <c r="E26" s="4">
        <v>0</v>
      </c>
      <c r="F26" s="4">
        <v>0.1</v>
      </c>
      <c r="G26" s="4">
        <v>0.74</v>
      </c>
      <c r="H26" s="4">
        <v>3.47</v>
      </c>
      <c r="I26" s="4">
        <v>2.71</v>
      </c>
      <c r="J26" s="4">
        <v>2.38</v>
      </c>
      <c r="K26" s="4">
        <v>0.05</v>
      </c>
      <c r="L26" s="4">
        <v>3.48</v>
      </c>
      <c r="M26" s="4">
        <v>1.53</v>
      </c>
    </row>
    <row r="27" spans="1:13" ht="15" customHeight="1" x14ac:dyDescent="0.2">
      <c r="A27" s="1">
        <v>1992</v>
      </c>
      <c r="B27" s="4">
        <v>1.44</v>
      </c>
      <c r="C27" s="4">
        <v>0.56000000000000005</v>
      </c>
      <c r="D27" s="4">
        <v>2.2999999999999998</v>
      </c>
      <c r="E27" s="4">
        <v>0.45</v>
      </c>
      <c r="F27" s="4">
        <v>4.8899999999999997</v>
      </c>
      <c r="G27" s="4">
        <v>0.33</v>
      </c>
      <c r="H27" s="4">
        <v>1.86</v>
      </c>
      <c r="I27" s="4">
        <v>4.4000000000000004</v>
      </c>
      <c r="J27" s="4">
        <v>0.68</v>
      </c>
      <c r="K27" s="4">
        <v>1.6</v>
      </c>
      <c r="L27" s="4">
        <v>0.3</v>
      </c>
      <c r="M27" s="4">
        <v>3.01</v>
      </c>
    </row>
    <row r="28" spans="1:13" ht="15" customHeight="1" x14ac:dyDescent="0.2">
      <c r="A28" s="1">
        <v>1993</v>
      </c>
      <c r="B28" s="4">
        <v>3.88</v>
      </c>
      <c r="C28" s="4">
        <v>2.72</v>
      </c>
      <c r="D28" s="4">
        <v>0.8</v>
      </c>
      <c r="E28" s="4">
        <v>0</v>
      </c>
      <c r="F28" s="4">
        <v>0.12</v>
      </c>
      <c r="G28" s="4">
        <v>0.37</v>
      </c>
      <c r="H28" s="4">
        <v>0.1</v>
      </c>
      <c r="I28" s="4">
        <v>3.18</v>
      </c>
      <c r="J28" s="4">
        <v>0.93</v>
      </c>
      <c r="K28" s="4">
        <v>1.67</v>
      </c>
      <c r="L28" s="4">
        <v>0.88</v>
      </c>
      <c r="M28" s="4">
        <v>0.57999999999999996</v>
      </c>
    </row>
    <row r="29" spans="1:13" ht="15" customHeight="1" x14ac:dyDescent="0.2">
      <c r="A29" s="1">
        <v>1994</v>
      </c>
      <c r="B29" s="4">
        <v>0.36</v>
      </c>
      <c r="C29" s="4">
        <v>1.89</v>
      </c>
      <c r="D29" s="4">
        <v>1.18</v>
      </c>
      <c r="E29" s="4">
        <v>0.25</v>
      </c>
      <c r="F29" s="4">
        <v>1.1499999999999999</v>
      </c>
      <c r="G29" s="4">
        <v>0.39</v>
      </c>
      <c r="H29" s="4">
        <v>0.88</v>
      </c>
      <c r="I29" s="4">
        <v>3.37</v>
      </c>
      <c r="J29" s="4">
        <v>2.54</v>
      </c>
      <c r="K29" s="4">
        <v>1.73</v>
      </c>
      <c r="L29" s="4">
        <v>4.51</v>
      </c>
      <c r="M29" s="4">
        <v>1.48</v>
      </c>
    </row>
    <row r="30" spans="1:13" ht="15" customHeight="1" x14ac:dyDescent="0.2">
      <c r="A30" s="1">
        <v>1995</v>
      </c>
      <c r="B30" s="4">
        <v>2.54</v>
      </c>
      <c r="C30" s="4">
        <v>0.57999999999999996</v>
      </c>
      <c r="D30" s="4">
        <v>0.56999999999999995</v>
      </c>
      <c r="E30" s="4">
        <v>0.23</v>
      </c>
      <c r="F30" s="4">
        <v>0.36</v>
      </c>
      <c r="G30" s="4">
        <v>0.31</v>
      </c>
      <c r="H30" s="4">
        <v>0.71</v>
      </c>
      <c r="I30" s="4">
        <v>3.17</v>
      </c>
      <c r="J30" s="4">
        <v>2.97</v>
      </c>
      <c r="K30" s="4">
        <v>0</v>
      </c>
      <c r="L30" s="4">
        <v>0.65</v>
      </c>
      <c r="M30" s="4">
        <v>0.36</v>
      </c>
    </row>
    <row r="31" spans="1:13" ht="15" customHeight="1" x14ac:dyDescent="0.2">
      <c r="A31" s="1">
        <v>1996</v>
      </c>
      <c r="B31" s="4">
        <v>0.13</v>
      </c>
      <c r="C31" s="4">
        <v>1.17</v>
      </c>
      <c r="D31" s="4">
        <v>0.15</v>
      </c>
      <c r="E31" s="4">
        <v>0.04</v>
      </c>
      <c r="F31" s="4">
        <v>0</v>
      </c>
      <c r="G31" s="4">
        <v>0.87</v>
      </c>
      <c r="H31" s="4">
        <v>1.74</v>
      </c>
      <c r="I31" s="4">
        <v>2.41</v>
      </c>
      <c r="J31" s="4">
        <v>3.26</v>
      </c>
      <c r="K31" s="4">
        <v>2.96</v>
      </c>
      <c r="L31" s="4">
        <v>0.11</v>
      </c>
      <c r="M31" s="4">
        <v>0.51</v>
      </c>
    </row>
    <row r="32" spans="1:13" ht="15" customHeight="1" x14ac:dyDescent="0.2">
      <c r="A32" s="1">
        <v>1997</v>
      </c>
      <c r="B32" s="4">
        <v>1.23</v>
      </c>
      <c r="C32" s="4">
        <v>1.08</v>
      </c>
      <c r="D32" s="4">
        <v>0.25</v>
      </c>
      <c r="E32" s="4">
        <v>0.61</v>
      </c>
      <c r="F32" s="4">
        <v>0.51</v>
      </c>
      <c r="G32" s="4">
        <v>1.05</v>
      </c>
      <c r="H32" s="4">
        <v>1.67</v>
      </c>
      <c r="I32" s="4">
        <v>2.81</v>
      </c>
      <c r="J32" s="4">
        <v>2.21</v>
      </c>
      <c r="K32" s="4">
        <v>1.68</v>
      </c>
      <c r="L32" s="4">
        <v>0.61</v>
      </c>
      <c r="M32" s="4">
        <v>1.1399999999999999</v>
      </c>
    </row>
    <row r="33" spans="1:13" ht="15" customHeight="1" x14ac:dyDescent="0.2">
      <c r="A33" s="1">
        <v>1998</v>
      </c>
      <c r="B33" s="4">
        <v>0.34</v>
      </c>
      <c r="C33" s="4">
        <v>1.29</v>
      </c>
      <c r="D33" s="4">
        <v>2.54</v>
      </c>
      <c r="E33" s="4">
        <v>0.64</v>
      </c>
      <c r="F33" s="4">
        <v>0.01</v>
      </c>
      <c r="G33" s="4">
        <v>0.28000000000000003</v>
      </c>
      <c r="H33" s="4">
        <v>3</v>
      </c>
      <c r="I33" s="4">
        <v>2.2799999999999998</v>
      </c>
      <c r="J33" s="4">
        <v>0.45</v>
      </c>
      <c r="K33" s="4">
        <v>1.5</v>
      </c>
      <c r="L33" s="4">
        <v>1.19</v>
      </c>
      <c r="M33" s="4">
        <v>0.42</v>
      </c>
    </row>
    <row r="34" spans="1:13" ht="15" customHeight="1" x14ac:dyDescent="0.2">
      <c r="A34" s="1">
        <v>1999</v>
      </c>
      <c r="B34" s="4">
        <v>0.94</v>
      </c>
      <c r="C34" s="4">
        <v>0.95</v>
      </c>
      <c r="D34" s="4">
        <v>0.27</v>
      </c>
      <c r="E34" s="4">
        <v>1.35</v>
      </c>
      <c r="F34" s="4">
        <v>0.13</v>
      </c>
      <c r="G34" s="4">
        <v>0.93</v>
      </c>
      <c r="H34" s="4">
        <v>2.2599999999999998</v>
      </c>
      <c r="I34" s="4">
        <v>4.26</v>
      </c>
      <c r="J34" s="4">
        <v>4.1100000000000003</v>
      </c>
      <c r="K34" s="4">
        <v>0.02</v>
      </c>
      <c r="L34" s="4">
        <v>0</v>
      </c>
      <c r="M34" s="4">
        <v>0</v>
      </c>
    </row>
    <row r="35" spans="1:13" ht="15" customHeight="1" x14ac:dyDescent="0.2">
      <c r="A35" s="1">
        <v>2000</v>
      </c>
      <c r="B35" s="4">
        <v>0.05</v>
      </c>
      <c r="C35" s="4">
        <v>0.06</v>
      </c>
      <c r="D35" s="4">
        <v>1.19</v>
      </c>
      <c r="E35" s="4">
        <v>0</v>
      </c>
      <c r="F35" s="4">
        <v>0</v>
      </c>
      <c r="G35" s="4">
        <v>0.53</v>
      </c>
      <c r="H35" s="4">
        <v>1.43</v>
      </c>
      <c r="I35" s="4">
        <v>2.44</v>
      </c>
      <c r="J35" s="4">
        <v>0.31</v>
      </c>
      <c r="K35" s="4">
        <v>6.4</v>
      </c>
      <c r="L35" s="4">
        <v>1.52</v>
      </c>
      <c r="M35" s="4">
        <v>0.14000000000000001</v>
      </c>
    </row>
    <row r="36" spans="1:13" ht="15" customHeight="1" x14ac:dyDescent="0.2">
      <c r="A36" s="1">
        <v>2001</v>
      </c>
      <c r="B36" s="4">
        <v>1.71</v>
      </c>
      <c r="C36" s="4">
        <v>1.1299999999999999</v>
      </c>
      <c r="D36" s="4">
        <v>0.09</v>
      </c>
      <c r="E36" s="4">
        <v>1.53</v>
      </c>
      <c r="F36" s="4">
        <v>1.3</v>
      </c>
      <c r="G36" s="4">
        <v>0.46</v>
      </c>
      <c r="H36" s="4">
        <v>2.2200000000000002</v>
      </c>
      <c r="I36" s="4">
        <v>2.66</v>
      </c>
      <c r="J36" s="4">
        <v>1.0900000000000001</v>
      </c>
      <c r="K36" s="4">
        <v>0.28000000000000003</v>
      </c>
      <c r="L36" s="4">
        <v>0.82</v>
      </c>
      <c r="M36" s="4">
        <v>0.51</v>
      </c>
    </row>
    <row r="37" spans="1:13" ht="15" customHeight="1" x14ac:dyDescent="0.2">
      <c r="A37" s="1">
        <v>2002</v>
      </c>
      <c r="B37" s="4">
        <v>0.36</v>
      </c>
      <c r="C37" s="4">
        <v>0</v>
      </c>
      <c r="D37" s="4">
        <v>0.2</v>
      </c>
      <c r="E37" s="4">
        <v>0.3</v>
      </c>
      <c r="F37" s="4">
        <v>0.05</v>
      </c>
      <c r="G37" s="4">
        <v>7.0000000000000007E-2</v>
      </c>
      <c r="H37" s="4">
        <v>2.91</v>
      </c>
      <c r="I37" s="4">
        <v>3.01</v>
      </c>
      <c r="J37" s="4">
        <v>4.58</v>
      </c>
      <c r="K37" s="4">
        <v>1.25</v>
      </c>
      <c r="L37" s="4">
        <v>0.95</v>
      </c>
      <c r="M37" s="4">
        <v>1.39</v>
      </c>
    </row>
    <row r="38" spans="1:13" ht="15" customHeight="1" x14ac:dyDescent="0.2">
      <c r="A38" s="1">
        <v>2003</v>
      </c>
      <c r="B38" s="4">
        <v>0.25</v>
      </c>
      <c r="C38" s="4">
        <v>1.9</v>
      </c>
      <c r="D38" s="4">
        <v>0.71</v>
      </c>
      <c r="E38" s="4">
        <v>0.11</v>
      </c>
      <c r="F38" s="4">
        <v>0</v>
      </c>
      <c r="G38" s="4">
        <v>0.13</v>
      </c>
      <c r="H38" s="4">
        <v>0.96</v>
      </c>
      <c r="I38" s="4">
        <v>1.05</v>
      </c>
      <c r="J38" s="4">
        <v>1.89</v>
      </c>
      <c r="K38" s="4">
        <v>1.59</v>
      </c>
      <c r="L38" s="4">
        <v>0.82</v>
      </c>
      <c r="M38" s="4">
        <v>0.24</v>
      </c>
    </row>
    <row r="39" spans="1:13" ht="15" customHeight="1" x14ac:dyDescent="0.2">
      <c r="A39" s="1">
        <v>2004</v>
      </c>
      <c r="B39" s="4">
        <v>0.39</v>
      </c>
      <c r="C39" s="4">
        <v>0.86</v>
      </c>
      <c r="D39" s="4">
        <v>0.28000000000000003</v>
      </c>
      <c r="E39" s="4">
        <v>2.4</v>
      </c>
      <c r="F39" s="4">
        <v>0</v>
      </c>
      <c r="G39" s="4">
        <v>0.45</v>
      </c>
      <c r="H39" s="4">
        <v>2.33</v>
      </c>
      <c r="I39" s="4">
        <v>2.68</v>
      </c>
      <c r="J39" s="4">
        <v>1.91</v>
      </c>
      <c r="K39" s="4">
        <v>1.07</v>
      </c>
      <c r="L39" s="4">
        <v>1.37</v>
      </c>
      <c r="M39" s="4">
        <v>1.88</v>
      </c>
    </row>
    <row r="40" spans="1:13" ht="15" customHeight="1" x14ac:dyDescent="0.2">
      <c r="A40" s="1">
        <v>2005</v>
      </c>
      <c r="B40" s="4">
        <v>2.74</v>
      </c>
      <c r="C40" s="4">
        <v>2.76</v>
      </c>
      <c r="D40" s="4">
        <v>0.6</v>
      </c>
      <c r="E40" s="4">
        <v>0.65</v>
      </c>
      <c r="F40" s="4">
        <v>0.28000000000000003</v>
      </c>
      <c r="G40" s="4">
        <v>0.01</v>
      </c>
      <c r="H40" s="4">
        <v>1.9</v>
      </c>
      <c r="I40" s="4">
        <v>1.44</v>
      </c>
      <c r="J40" s="4">
        <v>2.4</v>
      </c>
      <c r="K40" s="4">
        <v>0.86</v>
      </c>
      <c r="L40" s="4">
        <v>0.05</v>
      </c>
      <c r="M40" s="4">
        <v>0</v>
      </c>
    </row>
    <row r="41" spans="1:13" ht="15" customHeight="1" x14ac:dyDescent="0.2">
      <c r="A41" s="1">
        <v>2006</v>
      </c>
      <c r="B41" s="4">
        <v>0.45</v>
      </c>
      <c r="C41" s="4">
        <v>0</v>
      </c>
      <c r="D41" s="4">
        <v>1.1100000000000001</v>
      </c>
      <c r="E41" s="4">
        <v>0.11</v>
      </c>
      <c r="F41" s="4">
        <v>0.17</v>
      </c>
      <c r="G41" s="4">
        <v>1.23</v>
      </c>
      <c r="H41" s="4">
        <v>5.46</v>
      </c>
      <c r="I41" s="4">
        <v>5.82</v>
      </c>
      <c r="J41" s="4">
        <v>1.06</v>
      </c>
      <c r="K41" s="4">
        <v>2.39</v>
      </c>
      <c r="L41" s="4">
        <v>0</v>
      </c>
      <c r="M41" s="4">
        <v>0.37</v>
      </c>
    </row>
    <row r="42" spans="1:13" ht="15" customHeight="1" x14ac:dyDescent="0.2">
      <c r="A42" s="1">
        <v>2007</v>
      </c>
      <c r="B42" s="4">
        <v>0.67</v>
      </c>
      <c r="C42" s="4">
        <v>0.54</v>
      </c>
      <c r="D42" s="4">
        <v>1.51</v>
      </c>
      <c r="E42" s="4">
        <v>0.62</v>
      </c>
      <c r="F42" s="4">
        <v>0.72</v>
      </c>
      <c r="G42" s="4">
        <v>0.03</v>
      </c>
      <c r="H42" s="4">
        <v>3.6</v>
      </c>
      <c r="I42" s="4">
        <v>2.2799999999999998</v>
      </c>
      <c r="J42" s="4">
        <v>2.21</v>
      </c>
      <c r="K42" s="4">
        <v>0.6</v>
      </c>
      <c r="L42" s="4">
        <v>0.16</v>
      </c>
      <c r="M42" s="4">
        <v>3.24</v>
      </c>
    </row>
    <row r="43" spans="1:13" ht="15" customHeight="1" x14ac:dyDescent="0.2">
      <c r="A43" s="1">
        <v>2008</v>
      </c>
      <c r="B43" s="4">
        <v>3.09</v>
      </c>
      <c r="C43" s="4">
        <v>0.46</v>
      </c>
      <c r="D43" s="4">
        <v>0</v>
      </c>
      <c r="E43" s="4">
        <v>0.1</v>
      </c>
      <c r="F43" s="4">
        <v>1.44</v>
      </c>
      <c r="G43" s="4">
        <v>0.05</v>
      </c>
      <c r="H43" s="4">
        <v>3.29</v>
      </c>
      <c r="I43" s="4">
        <v>1.88</v>
      </c>
      <c r="J43" s="4">
        <v>1.75</v>
      </c>
      <c r="K43" s="4">
        <v>1.46</v>
      </c>
      <c r="L43" s="4">
        <v>0.37</v>
      </c>
      <c r="M43" s="4">
        <v>0.77</v>
      </c>
    </row>
    <row r="44" spans="1:13" ht="15" customHeight="1" x14ac:dyDescent="0.2">
      <c r="A44" s="1">
        <v>2009</v>
      </c>
      <c r="B44" s="4">
        <v>0.32</v>
      </c>
      <c r="C44" s="4">
        <v>0.69</v>
      </c>
      <c r="D44" s="4">
        <v>0.49</v>
      </c>
      <c r="E44" s="4">
        <v>0.52</v>
      </c>
      <c r="F44" s="4">
        <v>0.73</v>
      </c>
      <c r="G44" s="4">
        <v>1.45</v>
      </c>
      <c r="H44" s="4">
        <v>2.62</v>
      </c>
      <c r="I44" s="4">
        <v>5.48</v>
      </c>
      <c r="J44" s="4">
        <v>1.5</v>
      </c>
      <c r="K44" s="4">
        <v>0.5</v>
      </c>
      <c r="L44" s="4">
        <v>0.11</v>
      </c>
      <c r="M44" s="4">
        <v>1.67</v>
      </c>
    </row>
    <row r="45" spans="1:13" ht="15" customHeight="1" x14ac:dyDescent="0.2">
      <c r="A45" s="1">
        <v>2010</v>
      </c>
      <c r="B45" s="4">
        <v>4.21</v>
      </c>
      <c r="C45" s="4">
        <v>0.68</v>
      </c>
      <c r="D45" s="4">
        <v>1.31</v>
      </c>
      <c r="E45" s="4">
        <v>0.31</v>
      </c>
      <c r="F45" s="4">
        <v>0.23</v>
      </c>
      <c r="G45" s="4">
        <v>0.02</v>
      </c>
      <c r="H45" s="4">
        <v>1.85</v>
      </c>
      <c r="I45" s="4">
        <v>1.43</v>
      </c>
      <c r="J45" s="4">
        <v>0.91</v>
      </c>
      <c r="K45" s="4">
        <v>7.0000000000000007E-2</v>
      </c>
      <c r="L45" s="4">
        <v>0.03</v>
      </c>
      <c r="M45" s="4">
        <v>1.93</v>
      </c>
    </row>
    <row r="46" spans="1:13" ht="15" customHeight="1" x14ac:dyDescent="0.2">
      <c r="A46" s="1">
        <v>2011</v>
      </c>
      <c r="B46" s="4">
        <v>0</v>
      </c>
      <c r="C46" s="4">
        <v>0.25</v>
      </c>
      <c r="D46" s="4">
        <v>0</v>
      </c>
      <c r="E46" s="4">
        <v>0.27</v>
      </c>
      <c r="F46" s="4">
        <v>0.08</v>
      </c>
      <c r="G46" s="4">
        <v>0.12</v>
      </c>
      <c r="H46" s="4">
        <f>5.2-0.8</f>
        <v>4.4000000000000004</v>
      </c>
      <c r="I46" s="4">
        <f>3.41-0.8</f>
        <v>2.6100000000000003</v>
      </c>
      <c r="J46" s="4">
        <v>2.94</v>
      </c>
      <c r="K46" s="4">
        <v>1.61</v>
      </c>
      <c r="L46" s="4">
        <v>0.96</v>
      </c>
      <c r="M46" s="4">
        <v>4.0599999999999996</v>
      </c>
    </row>
    <row r="47" spans="1:13" ht="15" customHeight="1" x14ac:dyDescent="0.2">
      <c r="A47" s="1">
        <v>2012</v>
      </c>
      <c r="B47" s="4">
        <v>0.87</v>
      </c>
      <c r="C47" s="4">
        <v>0.36</v>
      </c>
      <c r="D47" s="4">
        <v>0.38</v>
      </c>
      <c r="E47" s="4">
        <v>0.04</v>
      </c>
      <c r="F47" s="4">
        <v>0</v>
      </c>
      <c r="G47" s="4">
        <v>0.13</v>
      </c>
      <c r="H47" s="4">
        <v>2.6</v>
      </c>
      <c r="I47" s="4">
        <v>3.56</v>
      </c>
      <c r="J47" s="4">
        <v>1.78</v>
      </c>
      <c r="K47" s="4">
        <v>0.13</v>
      </c>
      <c r="L47" s="4">
        <v>1.1599999999999999</v>
      </c>
      <c r="M47" s="4">
        <v>1.27</v>
      </c>
    </row>
    <row r="48" spans="1:13" ht="15" customHeight="1" x14ac:dyDescent="0.2">
      <c r="A48" s="1">
        <v>2013</v>
      </c>
      <c r="B48" s="4">
        <v>1.1399999999999999</v>
      </c>
      <c r="C48" s="4">
        <v>0.85</v>
      </c>
      <c r="D48" s="4">
        <v>0.54</v>
      </c>
      <c r="E48" s="4">
        <v>0.43</v>
      </c>
      <c r="F48" s="4">
        <v>0.27</v>
      </c>
      <c r="G48" s="4">
        <v>0</v>
      </c>
      <c r="H48" s="4">
        <v>4.75</v>
      </c>
      <c r="I48" s="4">
        <v>5.12</v>
      </c>
      <c r="J48" s="4">
        <v>3.66</v>
      </c>
      <c r="K48" s="4">
        <v>0.52</v>
      </c>
      <c r="L48" s="4">
        <v>2.2000000000000002</v>
      </c>
      <c r="M48" s="4">
        <v>0.46</v>
      </c>
    </row>
    <row r="49" spans="1:13" ht="15" customHeight="1" x14ac:dyDescent="0.2">
      <c r="A49" s="1">
        <v>2014</v>
      </c>
      <c r="B49" s="4">
        <v>0</v>
      </c>
      <c r="C49" s="4">
        <v>0.05</v>
      </c>
      <c r="D49" s="4">
        <v>0.75</v>
      </c>
      <c r="E49" s="4">
        <v>0</v>
      </c>
      <c r="F49" s="4">
        <v>0.02</v>
      </c>
      <c r="G49" s="4">
        <v>0.67</v>
      </c>
      <c r="H49" s="4">
        <v>1.73</v>
      </c>
      <c r="I49" s="4">
        <v>2.71</v>
      </c>
      <c r="J49" s="4">
        <v>3.31</v>
      </c>
      <c r="K49" s="4">
        <v>0.82</v>
      </c>
      <c r="L49" s="4">
        <v>0.93</v>
      </c>
      <c r="M49" s="4">
        <v>0.93</v>
      </c>
    </row>
    <row r="50" spans="1:13" ht="15" customHeight="1" x14ac:dyDescent="0.2">
      <c r="A50" s="1">
        <v>2015</v>
      </c>
      <c r="B50" s="4">
        <v>0.97</v>
      </c>
      <c r="C50" s="4">
        <v>1.43</v>
      </c>
      <c r="D50" s="4">
        <v>0.5</v>
      </c>
      <c r="E50" s="4">
        <v>0.39</v>
      </c>
      <c r="F50" s="4">
        <v>0.16</v>
      </c>
      <c r="G50" s="4">
        <v>0.56000000000000005</v>
      </c>
      <c r="H50" s="4">
        <v>1.3</v>
      </c>
      <c r="I50" s="4">
        <v>2.5099999999999998</v>
      </c>
      <c r="J50" s="4">
        <v>2.99</v>
      </c>
      <c r="K50" s="4">
        <v>0.67</v>
      </c>
      <c r="L50" s="4">
        <v>0.1</v>
      </c>
      <c r="M50" s="4">
        <v>0</v>
      </c>
    </row>
    <row r="51" spans="1:13" ht="15" customHeight="1" x14ac:dyDescent="0.2">
      <c r="A51" s="1">
        <v>2016</v>
      </c>
      <c r="B51" s="4">
        <v>1.64</v>
      </c>
      <c r="C51" s="4">
        <v>0</v>
      </c>
      <c r="D51" s="4">
        <v>0.21</v>
      </c>
      <c r="E51" s="4">
        <v>0.36</v>
      </c>
      <c r="F51" s="4">
        <v>0.9</v>
      </c>
      <c r="G51" s="4">
        <v>0.56000000000000005</v>
      </c>
      <c r="H51" s="4">
        <v>2.5499999999999998</v>
      </c>
      <c r="I51" s="4">
        <v>4.2300000000000004</v>
      </c>
      <c r="J51" s="4">
        <v>6.48</v>
      </c>
      <c r="K51" s="4">
        <v>0.45</v>
      </c>
      <c r="L51" s="4">
        <v>0.6</v>
      </c>
      <c r="M51" s="4">
        <v>2.9</v>
      </c>
    </row>
    <row r="52" spans="1:13" ht="15" customHeight="1" x14ac:dyDescent="0.2">
      <c r="A52" s="1">
        <v>2017</v>
      </c>
      <c r="B52" s="4">
        <v>0.98</v>
      </c>
      <c r="C52" s="4">
        <v>1.59</v>
      </c>
      <c r="D52" s="4">
        <v>0</v>
      </c>
      <c r="E52" s="4">
        <v>0</v>
      </c>
      <c r="F52" s="4">
        <v>0.31</v>
      </c>
      <c r="G52" s="4">
        <v>0.17</v>
      </c>
      <c r="H52" s="4">
        <v>6.3</v>
      </c>
      <c r="I52" s="4">
        <v>2.14</v>
      </c>
      <c r="J52" s="4">
        <v>0.15</v>
      </c>
      <c r="K52" s="4">
        <v>0.3</v>
      </c>
      <c r="L52" s="4">
        <v>0</v>
      </c>
      <c r="M52" s="4">
        <v>0.08</v>
      </c>
    </row>
    <row r="53" spans="1:13" ht="15" customHeight="1" x14ac:dyDescent="0.2">
      <c r="A53" s="1">
        <v>2018</v>
      </c>
      <c r="B53" s="4">
        <v>1</v>
      </c>
      <c r="C53" s="4">
        <v>2.2799999999999998</v>
      </c>
      <c r="D53" s="4">
        <v>0.45</v>
      </c>
      <c r="E53" s="4">
        <v>0</v>
      </c>
      <c r="F53" s="4">
        <v>0.03</v>
      </c>
      <c r="G53" s="4">
        <v>0.61</v>
      </c>
      <c r="H53" s="4">
        <v>4.45</v>
      </c>
      <c r="I53" s="4">
        <v>2.52</v>
      </c>
      <c r="J53" s="4">
        <v>3.26</v>
      </c>
      <c r="K53" s="4">
        <v>2.09</v>
      </c>
      <c r="L53" s="4">
        <v>0</v>
      </c>
      <c r="M53" s="4">
        <v>1.38</v>
      </c>
    </row>
    <row r="54" spans="1:13" ht="15" customHeight="1" x14ac:dyDescent="0.2">
      <c r="A54" s="1">
        <v>2019</v>
      </c>
      <c r="B54" s="4">
        <v>1.02</v>
      </c>
      <c r="C54" s="4">
        <v>1.25</v>
      </c>
      <c r="D54" s="4">
        <v>1.3</v>
      </c>
      <c r="E54" s="4">
        <v>0.1</v>
      </c>
      <c r="F54" s="4">
        <v>0.37</v>
      </c>
      <c r="G54" s="4">
        <v>0</v>
      </c>
      <c r="H54" s="4">
        <v>1.86</v>
      </c>
      <c r="I54" s="4">
        <v>3.14</v>
      </c>
      <c r="J54" s="4">
        <v>1.91</v>
      </c>
      <c r="K54" s="4">
        <v>0.39</v>
      </c>
      <c r="L54" s="4">
        <v>3.43</v>
      </c>
      <c r="M54" s="4">
        <v>2.06</v>
      </c>
    </row>
    <row r="55" spans="1:13" ht="15" customHeight="1" x14ac:dyDescent="0.2">
      <c r="A55" s="1">
        <v>2020</v>
      </c>
      <c r="B55" s="4">
        <v>1.31</v>
      </c>
      <c r="C55" s="4">
        <v>1.55</v>
      </c>
      <c r="D55" s="4">
        <v>2.42</v>
      </c>
      <c r="E55" s="4">
        <v>0.12</v>
      </c>
      <c r="F55" s="4">
        <v>0.16</v>
      </c>
      <c r="G55" s="4">
        <v>0</v>
      </c>
      <c r="H55" s="4">
        <v>1.17</v>
      </c>
      <c r="I55" s="4">
        <v>0.75</v>
      </c>
      <c r="J55" s="4">
        <v>0.83</v>
      </c>
      <c r="K55" s="4">
        <v>0.62</v>
      </c>
      <c r="L55" s="4">
        <v>0.65</v>
      </c>
      <c r="M55" s="4">
        <v>0.7</v>
      </c>
    </row>
    <row r="56" spans="1:13" ht="15" customHeight="1" x14ac:dyDescent="0.2">
      <c r="A56" s="1">
        <v>2021</v>
      </c>
      <c r="B56" s="4">
        <v>0.51</v>
      </c>
      <c r="C56" s="4">
        <v>0.25</v>
      </c>
      <c r="D56" s="4">
        <v>0.29000000000000004</v>
      </c>
      <c r="E56" s="4">
        <v>0.69</v>
      </c>
      <c r="F56" s="4">
        <v>0.13000000000000012</v>
      </c>
      <c r="G56" s="4">
        <v>3.9999999999999813E-2</v>
      </c>
      <c r="H56" s="4">
        <v>4.3899999999999997</v>
      </c>
      <c r="I56" s="4">
        <v>2.9400000000000004</v>
      </c>
      <c r="J56" s="4">
        <v>1.6799999999999997</v>
      </c>
      <c r="K56" s="4">
        <v>0.33999999999999986</v>
      </c>
      <c r="L56" s="4">
        <v>0.14000000000000057</v>
      </c>
      <c r="M56" s="4">
        <v>1.7499999999999998</v>
      </c>
    </row>
    <row r="57" spans="1:13" ht="15" customHeight="1" x14ac:dyDescent="0.2">
      <c r="A57" s="1">
        <v>2022</v>
      </c>
      <c r="B57" s="4">
        <v>0.85709999999999997</v>
      </c>
      <c r="C57" s="4">
        <v>0.15609999999999999</v>
      </c>
      <c r="D57" s="4">
        <v>0.30459999999999998</v>
      </c>
      <c r="E57" s="4">
        <v>0</v>
      </c>
      <c r="F57" s="4">
        <v>0</v>
      </c>
      <c r="G57" s="4">
        <v>3.4361999999999999</v>
      </c>
      <c r="H57" s="4">
        <v>2.1004999999999998</v>
      </c>
      <c r="I57" s="4">
        <v>4.7629000000000001</v>
      </c>
      <c r="J57" s="4">
        <v>1.5687</v>
      </c>
      <c r="K57" s="4">
        <v>3.1164000000000001</v>
      </c>
      <c r="L57" s="4">
        <v>0.49409999999999998</v>
      </c>
      <c r="M57" s="4">
        <v>2.2669999999999999</v>
      </c>
    </row>
    <row r="58" spans="1:13" ht="15" customHeight="1" x14ac:dyDescent="0.2">
      <c r="A58" s="1">
        <v>2023</v>
      </c>
      <c r="B58" s="1">
        <v>1.46</v>
      </c>
      <c r="C58" s="4">
        <v>1.1200000000000001</v>
      </c>
      <c r="D58" s="4">
        <v>1</v>
      </c>
      <c r="E58" s="4">
        <v>0</v>
      </c>
      <c r="F58" s="4">
        <v>0.25</v>
      </c>
      <c r="G58" s="4">
        <v>0.04</v>
      </c>
      <c r="H58" s="4">
        <v>0.4</v>
      </c>
      <c r="I58" s="4">
        <v>2.44</v>
      </c>
      <c r="J58" s="4">
        <v>1.65</v>
      </c>
      <c r="K58" s="4">
        <v>0.38</v>
      </c>
      <c r="L58" s="4">
        <v>0.48</v>
      </c>
      <c r="M58" s="4">
        <v>1.3</v>
      </c>
    </row>
    <row r="59" spans="1:13" ht="15" customHeight="1" x14ac:dyDescent="0.2">
      <c r="A59" s="1">
        <v>2024</v>
      </c>
      <c r="B59" s="1">
        <v>1.32</v>
      </c>
      <c r="C59" s="1">
        <v>1.62</v>
      </c>
      <c r="D59" s="1">
        <v>2.61</v>
      </c>
      <c r="E59" s="1">
        <v>0.24</v>
      </c>
      <c r="F59" s="1">
        <v>0.08</v>
      </c>
      <c r="G59" s="1">
        <v>0.83</v>
      </c>
      <c r="H59" s="1">
        <v>3.39</v>
      </c>
      <c r="I59" s="1">
        <v>1.29</v>
      </c>
      <c r="J59" s="1">
        <v>0.92</v>
      </c>
      <c r="K59" s="1">
        <v>0.7</v>
      </c>
      <c r="L59" s="1">
        <v>0.7</v>
      </c>
      <c r="M59" s="1">
        <v>0</v>
      </c>
    </row>
    <row r="60" spans="1:13" ht="15" customHeight="1" x14ac:dyDescent="0.2">
      <c r="A60" s="2" t="s">
        <v>4</v>
      </c>
      <c r="B60" s="2"/>
      <c r="C60" s="2" t="s">
        <v>2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" customHeight="1" x14ac:dyDescent="0.2">
      <c r="A61" s="2"/>
      <c r="B61" s="5" t="s">
        <v>123</v>
      </c>
      <c r="C61" s="5" t="s">
        <v>124</v>
      </c>
      <c r="D61" s="5" t="s">
        <v>125</v>
      </c>
      <c r="E61" s="5" t="s">
        <v>126</v>
      </c>
      <c r="F61" s="5" t="s">
        <v>127</v>
      </c>
      <c r="G61" s="5" t="s">
        <v>128</v>
      </c>
      <c r="H61" s="5" t="s">
        <v>129</v>
      </c>
      <c r="I61" s="5" t="s">
        <v>130</v>
      </c>
      <c r="J61" s="5" t="s">
        <v>131</v>
      </c>
      <c r="K61" s="5" t="s">
        <v>132</v>
      </c>
      <c r="L61" s="5" t="s">
        <v>133</v>
      </c>
      <c r="M61" s="5" t="s">
        <v>134</v>
      </c>
    </row>
    <row r="62" spans="1:13" ht="15" customHeight="1" x14ac:dyDescent="0.2">
      <c r="A62" s="1">
        <v>1968</v>
      </c>
      <c r="B62" s="9">
        <v>34.9</v>
      </c>
      <c r="C62" s="9">
        <v>42.7</v>
      </c>
      <c r="D62" s="9">
        <v>42.1</v>
      </c>
      <c r="E62" s="9">
        <v>47.6</v>
      </c>
      <c r="F62" s="9">
        <v>56.2</v>
      </c>
      <c r="G62" s="9">
        <v>65.400000000000006</v>
      </c>
      <c r="H62" s="9">
        <v>68.8</v>
      </c>
      <c r="I62" s="9">
        <v>65</v>
      </c>
      <c r="J62" s="9">
        <v>60.2</v>
      </c>
      <c r="K62" s="9">
        <v>53.5</v>
      </c>
      <c r="L62" s="9">
        <v>40.4</v>
      </c>
      <c r="M62" s="9">
        <v>31.6</v>
      </c>
    </row>
    <row r="63" spans="1:13" ht="15" customHeight="1" x14ac:dyDescent="0.2">
      <c r="A63" s="1">
        <v>1969</v>
      </c>
      <c r="B63" s="9">
        <v>39.700000000000003</v>
      </c>
      <c r="C63" s="9">
        <v>36.700000000000003</v>
      </c>
      <c r="D63" s="9">
        <v>38.4</v>
      </c>
      <c r="E63" s="9">
        <v>49.2</v>
      </c>
      <c r="F63" s="9">
        <v>54.3</v>
      </c>
      <c r="G63" s="9">
        <v>63.6</v>
      </c>
      <c r="H63" s="9">
        <v>72.099999999999994</v>
      </c>
      <c r="I63" s="9">
        <v>71.3</v>
      </c>
      <c r="J63" s="9">
        <v>62.7</v>
      </c>
      <c r="K63" s="9">
        <v>51.4</v>
      </c>
      <c r="L63" s="9">
        <v>41.1</v>
      </c>
      <c r="M63" s="9">
        <v>34.4</v>
      </c>
    </row>
    <row r="64" spans="1:13" ht="15" customHeight="1" x14ac:dyDescent="0.2">
      <c r="A64" s="1">
        <v>1970</v>
      </c>
      <c r="B64" s="9">
        <v>31.6</v>
      </c>
      <c r="C64" s="9">
        <v>37.9</v>
      </c>
      <c r="D64" s="9">
        <v>38.700000000000003</v>
      </c>
      <c r="E64" s="9">
        <v>43.8</v>
      </c>
      <c r="F64" s="9">
        <v>55.6</v>
      </c>
      <c r="G64" s="9">
        <v>64.2</v>
      </c>
      <c r="H64" s="9">
        <v>72.3</v>
      </c>
      <c r="I64" s="9">
        <v>69.5</v>
      </c>
      <c r="J64" s="9">
        <v>60.6</v>
      </c>
      <c r="K64" s="9">
        <v>47.7</v>
      </c>
      <c r="L64" s="9">
        <v>41.1</v>
      </c>
      <c r="M64" s="9">
        <v>34.4</v>
      </c>
    </row>
    <row r="65" spans="1:13" ht="15" customHeight="1" x14ac:dyDescent="0.2">
      <c r="A65" s="1">
        <v>1971</v>
      </c>
      <c r="B65" s="9">
        <v>31.8</v>
      </c>
      <c r="C65" s="9">
        <v>34.5</v>
      </c>
      <c r="D65" s="9">
        <v>41.5</v>
      </c>
      <c r="E65" s="9">
        <v>47.1</v>
      </c>
      <c r="F65" s="9">
        <v>52.3</v>
      </c>
      <c r="G65" s="9">
        <v>64.3</v>
      </c>
      <c r="H65" s="9">
        <v>72.3</v>
      </c>
      <c r="I65" s="9">
        <v>67.900000000000006</v>
      </c>
      <c r="J65" s="9">
        <v>62</v>
      </c>
      <c r="K65" s="9">
        <v>49.2</v>
      </c>
      <c r="L65" s="9">
        <v>40.5</v>
      </c>
      <c r="M65" s="9">
        <v>30.1</v>
      </c>
    </row>
    <row r="66" spans="1:13" ht="15" customHeight="1" x14ac:dyDescent="0.2">
      <c r="A66" s="1">
        <v>1972</v>
      </c>
      <c r="B66" s="9">
        <v>33.700000000000003</v>
      </c>
      <c r="C66" s="9">
        <v>35.9</v>
      </c>
      <c r="D66" s="9">
        <v>46.5</v>
      </c>
      <c r="E66" s="9">
        <v>48</v>
      </c>
      <c r="F66" s="9">
        <v>53.8</v>
      </c>
      <c r="G66" s="9">
        <v>63.2</v>
      </c>
      <c r="H66" s="9">
        <v>69.900000000000006</v>
      </c>
      <c r="I66" s="9">
        <v>67.5</v>
      </c>
      <c r="J66" s="9">
        <v>61.2</v>
      </c>
      <c r="K66" s="9">
        <v>54</v>
      </c>
      <c r="L66" s="9">
        <v>37.200000000000003</v>
      </c>
      <c r="M66" s="9">
        <v>34.4</v>
      </c>
    </row>
    <row r="67" spans="1:13" ht="15" customHeight="1" x14ac:dyDescent="0.2">
      <c r="A67" s="1">
        <v>1973</v>
      </c>
      <c r="B67" s="9">
        <v>32.5</v>
      </c>
      <c r="C67" s="9">
        <v>35.6</v>
      </c>
      <c r="D67" s="9">
        <v>38.299999999999997</v>
      </c>
      <c r="E67" s="9">
        <v>43.7</v>
      </c>
      <c r="F67" s="9">
        <v>54.9</v>
      </c>
      <c r="G67" s="9">
        <v>62.7</v>
      </c>
      <c r="H67" s="9">
        <v>69.3</v>
      </c>
      <c r="I67" s="9">
        <v>67.900000000000006</v>
      </c>
      <c r="J67" s="9">
        <v>61.6</v>
      </c>
      <c r="K67" s="9">
        <v>51.9</v>
      </c>
      <c r="L67" s="9">
        <v>40.799999999999997</v>
      </c>
      <c r="M67" s="9">
        <v>35.5</v>
      </c>
    </row>
    <row r="68" spans="1:13" ht="15" customHeight="1" x14ac:dyDescent="0.2">
      <c r="A68" s="1">
        <v>1974</v>
      </c>
      <c r="B68" s="9">
        <v>34.799999999999997</v>
      </c>
      <c r="C68" s="9">
        <v>33.1</v>
      </c>
      <c r="D68" s="9">
        <v>44.8</v>
      </c>
      <c r="E68" s="9">
        <v>46.8</v>
      </c>
      <c r="F68" s="9">
        <v>57</v>
      </c>
      <c r="G68" s="9">
        <v>69.599999999999994</v>
      </c>
      <c r="H68" s="9">
        <v>69.2</v>
      </c>
      <c r="I68" s="9">
        <v>66.8</v>
      </c>
      <c r="J68" s="9">
        <v>60.5</v>
      </c>
      <c r="K68" s="9">
        <v>53.7</v>
      </c>
      <c r="L68" s="9">
        <v>40.700000000000003</v>
      </c>
      <c r="M68" s="9">
        <v>32.6</v>
      </c>
    </row>
    <row r="69" spans="1:13" ht="15" customHeight="1" x14ac:dyDescent="0.2">
      <c r="A69" s="1">
        <v>1975</v>
      </c>
      <c r="B69" s="9">
        <v>32.4</v>
      </c>
      <c r="C69" s="9">
        <v>36.299999999999997</v>
      </c>
      <c r="D69" s="9">
        <v>39.1</v>
      </c>
      <c r="E69" s="9">
        <v>43.8</v>
      </c>
      <c r="F69" s="9">
        <v>52</v>
      </c>
      <c r="G69" s="9">
        <v>62.4</v>
      </c>
      <c r="H69" s="9">
        <v>69.5</v>
      </c>
      <c r="I69" s="9">
        <v>68.400000000000006</v>
      </c>
      <c r="J69" s="9">
        <v>66.2</v>
      </c>
      <c r="K69" s="9">
        <v>51.3</v>
      </c>
      <c r="L69" s="9">
        <v>40.4</v>
      </c>
      <c r="M69" s="9">
        <v>36.299999999999997</v>
      </c>
    </row>
    <row r="70" spans="1:13" ht="15" customHeight="1" x14ac:dyDescent="0.2">
      <c r="A70" s="1">
        <v>1976</v>
      </c>
      <c r="B70" s="9">
        <v>33.200000000000003</v>
      </c>
      <c r="C70" s="9">
        <v>39.700000000000003</v>
      </c>
      <c r="D70" s="9">
        <v>40.299999999999997</v>
      </c>
      <c r="E70" s="9">
        <v>47.8</v>
      </c>
      <c r="F70" s="9">
        <v>55.1</v>
      </c>
      <c r="G70" s="9">
        <v>63.5</v>
      </c>
      <c r="H70" s="9">
        <v>67.599999999999994</v>
      </c>
      <c r="I70" s="9">
        <v>66.7</v>
      </c>
      <c r="J70" s="9">
        <v>61.5</v>
      </c>
      <c r="K70" s="9">
        <v>49</v>
      </c>
      <c r="L70" s="9">
        <v>40.299999999999997</v>
      </c>
      <c r="M70" s="9">
        <v>33.200000000000003</v>
      </c>
    </row>
    <row r="71" spans="1:13" ht="15" customHeight="1" x14ac:dyDescent="0.2">
      <c r="A71" s="1">
        <v>1977</v>
      </c>
      <c r="B71" s="9">
        <v>34</v>
      </c>
      <c r="C71" s="9">
        <v>37.299999999999997</v>
      </c>
      <c r="D71" s="9">
        <v>37.9</v>
      </c>
      <c r="E71" s="9">
        <v>48.3</v>
      </c>
      <c r="F71" s="9">
        <v>54.7</v>
      </c>
      <c r="G71" s="9">
        <v>65.8</v>
      </c>
      <c r="H71" s="9">
        <v>69.7</v>
      </c>
      <c r="I71" s="9">
        <v>69.7</v>
      </c>
      <c r="J71" s="9">
        <v>64.3</v>
      </c>
      <c r="K71" s="9">
        <v>53.9</v>
      </c>
      <c r="L71" s="9">
        <v>43.7</v>
      </c>
      <c r="M71" s="9">
        <v>38.200000000000003</v>
      </c>
    </row>
    <row r="72" spans="1:13" ht="15" customHeight="1" x14ac:dyDescent="0.2">
      <c r="A72" s="1">
        <v>1978</v>
      </c>
      <c r="B72" s="9">
        <v>35.9</v>
      </c>
      <c r="C72" s="9">
        <v>37.1</v>
      </c>
      <c r="D72" s="9">
        <v>44.6</v>
      </c>
      <c r="E72" s="9">
        <v>49.4</v>
      </c>
      <c r="F72" s="9">
        <v>53.7</v>
      </c>
      <c r="G72" s="9">
        <v>66.099999999999994</v>
      </c>
      <c r="H72" s="9">
        <v>71.5</v>
      </c>
      <c r="I72" s="9">
        <v>68</v>
      </c>
      <c r="J72" s="9">
        <v>62.9</v>
      </c>
      <c r="K72" s="9">
        <v>54.2</v>
      </c>
      <c r="L72" s="9">
        <v>43</v>
      </c>
      <c r="M72" s="9">
        <v>33.299999999999997</v>
      </c>
    </row>
    <row r="73" spans="1:13" ht="15" customHeight="1" x14ac:dyDescent="0.2">
      <c r="A73" s="1">
        <v>1979</v>
      </c>
      <c r="B73" s="9">
        <v>29.9</v>
      </c>
      <c r="C73" s="9">
        <v>35</v>
      </c>
      <c r="D73" s="9">
        <v>40.5</v>
      </c>
      <c r="E73" s="9">
        <v>47.5</v>
      </c>
      <c r="F73" s="9">
        <v>56.5</v>
      </c>
      <c r="G73" s="9">
        <v>63.5</v>
      </c>
      <c r="H73" s="9">
        <v>69.8</v>
      </c>
      <c r="I73" s="9">
        <v>66.5</v>
      </c>
      <c r="J73" s="9">
        <v>63.8</v>
      </c>
      <c r="K73" s="9">
        <v>53.7</v>
      </c>
      <c r="L73" s="9">
        <v>37.6</v>
      </c>
      <c r="M73" s="9">
        <v>35.6</v>
      </c>
    </row>
    <row r="74" spans="1:13" ht="15" customHeight="1" x14ac:dyDescent="0.2">
      <c r="A74" s="1">
        <v>1980</v>
      </c>
      <c r="B74" s="9">
        <v>37.799999999999997</v>
      </c>
      <c r="C74" s="9">
        <v>39.799999999999997</v>
      </c>
      <c r="D74" s="9">
        <v>41.1</v>
      </c>
      <c r="E74" s="9">
        <v>47.4</v>
      </c>
      <c r="F74" s="9">
        <v>53.8</v>
      </c>
      <c r="G74" s="9">
        <v>66.5</v>
      </c>
      <c r="H74" s="9">
        <v>73</v>
      </c>
      <c r="I74" s="9">
        <v>68.900000000000006</v>
      </c>
      <c r="J74" s="9">
        <v>63.3</v>
      </c>
      <c r="K74" s="9">
        <v>50.4</v>
      </c>
      <c r="L74" s="9">
        <v>40.5</v>
      </c>
      <c r="M74" s="9">
        <v>40</v>
      </c>
    </row>
    <row r="75" spans="1:13" ht="15" customHeight="1" x14ac:dyDescent="0.2">
      <c r="A75" s="1">
        <v>1981</v>
      </c>
      <c r="B75" s="9">
        <v>37.200000000000003</v>
      </c>
      <c r="C75" s="9">
        <v>38.299999999999997</v>
      </c>
      <c r="D75" s="9">
        <v>41.6</v>
      </c>
      <c r="E75" s="9">
        <v>52.4</v>
      </c>
      <c r="F75" s="9">
        <v>57.3</v>
      </c>
      <c r="G75" s="9">
        <v>68.8</v>
      </c>
      <c r="H75" s="9">
        <v>71.2</v>
      </c>
      <c r="I75" s="9">
        <v>69</v>
      </c>
      <c r="J75" s="9">
        <v>63.7</v>
      </c>
      <c r="K75" s="9">
        <v>52</v>
      </c>
      <c r="L75" s="9">
        <v>46.1</v>
      </c>
      <c r="M75" s="9">
        <v>38</v>
      </c>
    </row>
    <row r="76" spans="1:13" ht="15" customHeight="1" x14ac:dyDescent="0.2">
      <c r="A76" s="1">
        <v>1982</v>
      </c>
      <c r="B76" s="9">
        <v>36.6</v>
      </c>
      <c r="C76" s="9">
        <v>39.200000000000003</v>
      </c>
      <c r="D76" s="9">
        <v>42.3</v>
      </c>
      <c r="E76" s="9">
        <v>49</v>
      </c>
      <c r="F76" s="9">
        <v>54.5</v>
      </c>
      <c r="G76" s="9">
        <v>62.5</v>
      </c>
      <c r="H76" s="9">
        <v>70</v>
      </c>
      <c r="I76" s="9">
        <v>70.400000000000006</v>
      </c>
      <c r="J76" s="9">
        <v>63.9</v>
      </c>
      <c r="K76" s="9">
        <v>48.8</v>
      </c>
      <c r="L76" s="9">
        <v>40.5</v>
      </c>
      <c r="M76" s="9">
        <v>33</v>
      </c>
    </row>
    <row r="77" spans="1:13" ht="15" customHeight="1" x14ac:dyDescent="0.2">
      <c r="A77" s="1">
        <v>1983</v>
      </c>
      <c r="B77" s="9">
        <v>36</v>
      </c>
      <c r="C77" s="9">
        <v>36.799999999999997</v>
      </c>
      <c r="D77" s="9">
        <v>41.1</v>
      </c>
      <c r="E77" s="9">
        <v>42.8</v>
      </c>
      <c r="F77" s="9">
        <v>53</v>
      </c>
      <c r="G77" s="9">
        <v>61.5</v>
      </c>
      <c r="H77" s="9">
        <v>68.400000000000006</v>
      </c>
      <c r="I77" s="9">
        <v>68.599999999999994</v>
      </c>
      <c r="J77" s="9">
        <v>65.5</v>
      </c>
      <c r="K77" s="9">
        <v>53.3</v>
      </c>
      <c r="L77" s="9">
        <v>41.2</v>
      </c>
      <c r="M77" s="9">
        <v>37.6</v>
      </c>
    </row>
    <row r="78" spans="1:13" ht="15" customHeight="1" x14ac:dyDescent="0.2">
      <c r="A78" s="1">
        <v>1984</v>
      </c>
      <c r="B78" s="9">
        <v>35.4</v>
      </c>
      <c r="C78" s="9">
        <v>35.200000000000003</v>
      </c>
      <c r="D78" s="9">
        <v>41.8</v>
      </c>
      <c r="E78" s="9">
        <v>45.8</v>
      </c>
      <c r="F78" s="9">
        <v>59.9</v>
      </c>
      <c r="G78" s="9">
        <v>64.8</v>
      </c>
      <c r="H78" s="9">
        <v>69.599999999999994</v>
      </c>
      <c r="I78" s="9">
        <v>68.5</v>
      </c>
      <c r="J78" s="9">
        <v>62.7</v>
      </c>
      <c r="K78" s="9">
        <v>49.1</v>
      </c>
      <c r="L78" s="9">
        <v>39.299999999999997</v>
      </c>
      <c r="M78" s="9">
        <v>36.299999999999997</v>
      </c>
    </row>
    <row r="79" spans="1:13" ht="15" customHeight="1" x14ac:dyDescent="0.2">
      <c r="A79" s="1">
        <v>1985</v>
      </c>
      <c r="B79" s="9">
        <v>33.700000000000003</v>
      </c>
      <c r="C79" s="9">
        <v>35.700000000000003</v>
      </c>
      <c r="D79" s="9">
        <v>43.3</v>
      </c>
      <c r="E79" s="9">
        <v>50.4</v>
      </c>
      <c r="F79" s="9">
        <v>56.5</v>
      </c>
      <c r="G79" s="9">
        <v>65</v>
      </c>
      <c r="H79" s="9">
        <v>70.7</v>
      </c>
      <c r="I79" s="9">
        <v>68.599999999999994</v>
      </c>
      <c r="J79" s="9">
        <v>59.4</v>
      </c>
      <c r="K79" s="9">
        <v>52.2</v>
      </c>
      <c r="L79" s="9">
        <v>40.9</v>
      </c>
      <c r="M79" s="9">
        <v>35</v>
      </c>
    </row>
    <row r="80" spans="1:13" ht="15" customHeight="1" x14ac:dyDescent="0.2">
      <c r="A80" s="1">
        <v>1986</v>
      </c>
      <c r="B80" s="9">
        <v>39.1</v>
      </c>
      <c r="C80" s="9">
        <v>40</v>
      </c>
      <c r="D80" s="9">
        <v>44.5</v>
      </c>
      <c r="E80" s="9">
        <v>50.6</v>
      </c>
      <c r="F80" s="9">
        <v>55.6</v>
      </c>
      <c r="G80" s="9">
        <v>64.8</v>
      </c>
      <c r="H80" s="9">
        <v>67.599999999999994</v>
      </c>
      <c r="I80" s="9">
        <v>69.900000000000006</v>
      </c>
      <c r="J80" s="9">
        <v>59.3</v>
      </c>
      <c r="K80" s="9">
        <v>49.6</v>
      </c>
      <c r="L80" s="9">
        <v>42.4</v>
      </c>
      <c r="M80" s="9">
        <v>35.799999999999997</v>
      </c>
    </row>
    <row r="81" spans="1:13" ht="15" customHeight="1" x14ac:dyDescent="0.2">
      <c r="A81" s="1">
        <v>1987</v>
      </c>
      <c r="B81" s="9">
        <v>32.5</v>
      </c>
      <c r="C81" s="9">
        <v>36.6</v>
      </c>
      <c r="D81" s="9">
        <v>39</v>
      </c>
      <c r="E81" s="9">
        <v>50.1</v>
      </c>
      <c r="F81" s="9">
        <v>54.5</v>
      </c>
      <c r="G81" s="9">
        <v>65.5</v>
      </c>
      <c r="H81" s="9">
        <v>68.599999999999994</v>
      </c>
      <c r="I81" s="9">
        <v>67</v>
      </c>
      <c r="J81" s="9">
        <v>60.8</v>
      </c>
      <c r="K81" s="9">
        <v>54.7</v>
      </c>
      <c r="L81" s="9">
        <v>40.299999999999997</v>
      </c>
      <c r="M81" s="9">
        <v>30.1</v>
      </c>
    </row>
    <row r="82" spans="1:13" ht="15" customHeight="1" x14ac:dyDescent="0.2">
      <c r="A82" s="1">
        <v>1988</v>
      </c>
      <c r="B82" s="9">
        <v>32.799999999999997</v>
      </c>
      <c r="C82" s="9">
        <v>39.6</v>
      </c>
      <c r="D82" s="9">
        <v>40.5</v>
      </c>
      <c r="E82" s="9">
        <v>46.9</v>
      </c>
      <c r="F82" s="9">
        <v>56</v>
      </c>
      <c r="G82" s="9">
        <v>64.900000000000006</v>
      </c>
      <c r="H82" s="9">
        <v>69.900000000000006</v>
      </c>
      <c r="I82" s="9">
        <v>68.400000000000006</v>
      </c>
      <c r="J82" s="9">
        <v>58.7</v>
      </c>
      <c r="K82" s="9">
        <v>52</v>
      </c>
      <c r="L82" s="9">
        <v>41.9</v>
      </c>
      <c r="M82" s="9">
        <v>34.299999999999997</v>
      </c>
    </row>
    <row r="83" spans="1:13" ht="15" customHeight="1" x14ac:dyDescent="0.2">
      <c r="A83" s="1">
        <v>1989</v>
      </c>
      <c r="B83" s="9">
        <v>33.4</v>
      </c>
      <c r="C83" s="9">
        <v>40.9</v>
      </c>
      <c r="D83" s="9">
        <v>46.3</v>
      </c>
      <c r="E83" s="9">
        <v>53.6</v>
      </c>
      <c r="F83" s="9">
        <v>58.6</v>
      </c>
      <c r="G83" s="9">
        <v>65.099999999999994</v>
      </c>
      <c r="H83" s="9">
        <v>71.599999999999994</v>
      </c>
      <c r="I83" s="9">
        <v>68.400000000000006</v>
      </c>
      <c r="J83" s="9">
        <v>62.9</v>
      </c>
      <c r="K83" s="9">
        <v>52.6</v>
      </c>
      <c r="L83" s="9">
        <v>42.1</v>
      </c>
      <c r="M83" s="9">
        <v>33.9</v>
      </c>
    </row>
    <row r="84" spans="1:13" ht="15" customHeight="1" x14ac:dyDescent="0.2">
      <c r="A84" s="1">
        <v>1990</v>
      </c>
      <c r="B84" s="9">
        <v>33.700000000000003</v>
      </c>
      <c r="C84" s="9">
        <v>35.5</v>
      </c>
      <c r="D84" s="9">
        <v>43.5</v>
      </c>
      <c r="E84" s="9">
        <v>51.2</v>
      </c>
      <c r="F84" s="9">
        <v>57</v>
      </c>
      <c r="G84" s="9">
        <v>70.3</v>
      </c>
      <c r="H84" s="9">
        <v>71.5</v>
      </c>
      <c r="I84" s="9">
        <v>67.7</v>
      </c>
      <c r="J84" s="9">
        <v>65.900000000000006</v>
      </c>
      <c r="K84" s="9">
        <v>52.3</v>
      </c>
      <c r="L84" s="9">
        <v>43.3</v>
      </c>
      <c r="M84" s="9">
        <v>32</v>
      </c>
    </row>
    <row r="85" spans="1:13" ht="15" customHeight="1" x14ac:dyDescent="0.2">
      <c r="A85" s="1">
        <v>1991</v>
      </c>
      <c r="B85" s="9">
        <v>35.799999999999997</v>
      </c>
      <c r="C85" s="9">
        <v>37.1</v>
      </c>
      <c r="D85" s="9">
        <v>41.9</v>
      </c>
      <c r="E85" s="9">
        <v>45.5</v>
      </c>
      <c r="F85" s="9">
        <v>55.6</v>
      </c>
      <c r="G85" s="9">
        <v>61.9</v>
      </c>
      <c r="H85" s="9">
        <v>69.400000000000006</v>
      </c>
      <c r="I85" s="9">
        <v>68.3</v>
      </c>
      <c r="J85" s="9">
        <v>63</v>
      </c>
      <c r="K85" s="9">
        <v>53.5</v>
      </c>
      <c r="L85" s="9">
        <v>43.2</v>
      </c>
      <c r="M85" s="9">
        <v>36.1</v>
      </c>
    </row>
    <row r="86" spans="1:13" ht="15" customHeight="1" x14ac:dyDescent="0.2">
      <c r="A86" s="1">
        <v>1992</v>
      </c>
      <c r="B86" s="9">
        <v>31.8</v>
      </c>
      <c r="C86" s="9">
        <v>36.799999999999997</v>
      </c>
      <c r="D86" s="9">
        <v>42.3</v>
      </c>
      <c r="E86" s="9">
        <v>48.3</v>
      </c>
      <c r="F86" s="9">
        <v>56.1</v>
      </c>
      <c r="G86" s="9">
        <v>61.2</v>
      </c>
      <c r="H86" s="9">
        <v>67.3</v>
      </c>
      <c r="I86" s="9">
        <v>66.7</v>
      </c>
      <c r="J86" s="9">
        <v>61.9</v>
      </c>
      <c r="K86" s="9">
        <v>53.1</v>
      </c>
      <c r="L86" s="9">
        <v>41.2</v>
      </c>
      <c r="M86" s="9">
        <v>35.6</v>
      </c>
    </row>
    <row r="87" spans="1:13" ht="15" customHeight="1" x14ac:dyDescent="0.2">
      <c r="A87" s="1">
        <v>1993</v>
      </c>
      <c r="B87" s="9">
        <v>36.200000000000003</v>
      </c>
      <c r="C87" s="9">
        <v>34.299999999999997</v>
      </c>
      <c r="D87" s="9">
        <v>42.7</v>
      </c>
      <c r="E87" s="9">
        <v>47.4</v>
      </c>
      <c r="F87" s="9">
        <v>56</v>
      </c>
      <c r="G87" s="9">
        <v>63.1</v>
      </c>
      <c r="H87" s="9">
        <v>68.8</v>
      </c>
      <c r="I87" s="9">
        <v>68</v>
      </c>
      <c r="J87" s="9">
        <v>59.9</v>
      </c>
      <c r="K87" s="9">
        <v>52.1</v>
      </c>
      <c r="L87" s="9">
        <v>41.2</v>
      </c>
      <c r="M87" s="9">
        <v>34.9</v>
      </c>
    </row>
    <row r="88" spans="1:13" ht="15" customHeight="1" x14ac:dyDescent="0.2">
      <c r="A88" s="1">
        <v>1994</v>
      </c>
      <c r="B88" s="9">
        <v>34.299999999999997</v>
      </c>
      <c r="C88" s="9">
        <v>37.1</v>
      </c>
      <c r="D88" s="9">
        <v>44.1</v>
      </c>
      <c r="E88" s="9">
        <v>50.2</v>
      </c>
      <c r="F88" s="9">
        <v>56</v>
      </c>
      <c r="G88" s="9">
        <v>68.599999999999994</v>
      </c>
      <c r="H88" s="9">
        <v>69.900000000000006</v>
      </c>
      <c r="I88" s="9">
        <v>70.8</v>
      </c>
      <c r="J88" s="9">
        <v>62.3</v>
      </c>
      <c r="K88" s="9">
        <v>52.1</v>
      </c>
      <c r="L88" s="9">
        <v>42.6</v>
      </c>
      <c r="M88" s="9">
        <v>34.9</v>
      </c>
    </row>
    <row r="89" spans="1:13" ht="15" customHeight="1" x14ac:dyDescent="0.2">
      <c r="A89" s="1">
        <v>1995</v>
      </c>
      <c r="B89" s="9">
        <v>34.4</v>
      </c>
      <c r="C89" s="9">
        <v>37.1</v>
      </c>
      <c r="D89" s="9">
        <v>43.8</v>
      </c>
      <c r="E89" s="9">
        <v>47</v>
      </c>
      <c r="F89" s="9">
        <v>55.4</v>
      </c>
      <c r="G89" s="9">
        <v>62.9</v>
      </c>
      <c r="H89" s="9">
        <v>69.900000000000006</v>
      </c>
      <c r="I89" s="9">
        <v>72.599999999999994</v>
      </c>
      <c r="J89" s="9">
        <v>62.3</v>
      </c>
      <c r="K89" s="9">
        <v>52.1</v>
      </c>
      <c r="L89" s="9">
        <v>46.2</v>
      </c>
      <c r="M89" s="9">
        <v>37.799999999999997</v>
      </c>
    </row>
    <row r="90" spans="1:13" ht="15" customHeight="1" x14ac:dyDescent="0.2">
      <c r="A90" s="1">
        <v>1996</v>
      </c>
      <c r="B90" s="9">
        <v>35.9</v>
      </c>
      <c r="C90" s="9">
        <v>37.1</v>
      </c>
      <c r="D90" s="9">
        <v>42.1</v>
      </c>
      <c r="E90" s="9">
        <v>48</v>
      </c>
      <c r="F90" s="9">
        <v>60.9</v>
      </c>
      <c r="G90" s="9">
        <v>69.7</v>
      </c>
      <c r="H90" s="9">
        <v>72.400000000000006</v>
      </c>
      <c r="I90" s="9">
        <v>68.400000000000006</v>
      </c>
      <c r="J90" s="9">
        <v>61.3</v>
      </c>
      <c r="K90" s="9">
        <v>53.4</v>
      </c>
      <c r="L90" s="9">
        <v>42.7</v>
      </c>
      <c r="M90" s="9">
        <v>34.9</v>
      </c>
    </row>
    <row r="91" spans="1:13" ht="15" customHeight="1" x14ac:dyDescent="0.2">
      <c r="A91" s="1">
        <v>1997</v>
      </c>
      <c r="B91" s="9">
        <v>33.1</v>
      </c>
      <c r="C91" s="9">
        <v>37.700000000000003</v>
      </c>
      <c r="D91" s="9">
        <v>42.1</v>
      </c>
      <c r="E91" s="9">
        <v>49.5</v>
      </c>
      <c r="F91" s="9">
        <v>55.6</v>
      </c>
      <c r="G91" s="9">
        <v>65.2</v>
      </c>
      <c r="H91" s="9">
        <v>71.8</v>
      </c>
      <c r="I91" s="9">
        <v>68.400000000000006</v>
      </c>
      <c r="J91" s="9">
        <v>62.2</v>
      </c>
      <c r="K91" s="9">
        <v>52.1</v>
      </c>
      <c r="L91" s="9">
        <v>41.6</v>
      </c>
      <c r="M91" s="9">
        <v>34.9</v>
      </c>
    </row>
    <row r="92" spans="1:13" ht="15" customHeight="1" x14ac:dyDescent="0.2">
      <c r="A92" s="1">
        <v>1998</v>
      </c>
      <c r="B92" s="9">
        <v>35.9</v>
      </c>
      <c r="C92" s="9">
        <v>37.299999999999997</v>
      </c>
      <c r="D92" s="9">
        <v>42.3</v>
      </c>
      <c r="E92" s="9">
        <v>44.5</v>
      </c>
      <c r="F92" s="9">
        <v>53.9</v>
      </c>
      <c r="G92" s="9">
        <v>64</v>
      </c>
      <c r="H92" s="9">
        <v>70.099999999999994</v>
      </c>
      <c r="I92" s="9">
        <v>68.2</v>
      </c>
      <c r="J92" s="9">
        <v>66.599999999999994</v>
      </c>
      <c r="K92" s="9">
        <v>52.2</v>
      </c>
      <c r="L92" s="9">
        <v>41.6</v>
      </c>
      <c r="M92" s="9">
        <v>34.9</v>
      </c>
    </row>
    <row r="93" spans="1:13" ht="15" customHeight="1" x14ac:dyDescent="0.2">
      <c r="A93" s="1">
        <v>1999</v>
      </c>
      <c r="B93" s="9">
        <v>33.700000000000003</v>
      </c>
      <c r="C93" s="9">
        <v>36.700000000000003</v>
      </c>
      <c r="D93" s="9">
        <v>42.3</v>
      </c>
      <c r="E93" s="9">
        <v>48.1</v>
      </c>
      <c r="F93" s="9">
        <v>55.6</v>
      </c>
      <c r="G93" s="9">
        <v>61.9</v>
      </c>
      <c r="H93" s="9">
        <v>72.3</v>
      </c>
      <c r="I93" s="9">
        <v>69.900000000000006</v>
      </c>
      <c r="J93" s="9">
        <v>63</v>
      </c>
      <c r="K93" s="9">
        <v>53.5</v>
      </c>
      <c r="L93" s="9">
        <v>43.2</v>
      </c>
      <c r="M93" s="9">
        <v>36.1</v>
      </c>
    </row>
    <row r="94" spans="1:13" ht="15" customHeight="1" x14ac:dyDescent="0.2">
      <c r="A94" s="1">
        <v>2000</v>
      </c>
      <c r="B94" s="9">
        <v>33.6</v>
      </c>
      <c r="C94" s="9">
        <v>42.8</v>
      </c>
      <c r="D94" s="9">
        <v>45.2</v>
      </c>
      <c r="E94" s="9">
        <v>48</v>
      </c>
      <c r="F94" s="9">
        <v>48.1</v>
      </c>
      <c r="G94" s="9">
        <v>70.5</v>
      </c>
      <c r="H94" s="9">
        <v>74.3</v>
      </c>
      <c r="I94" s="9">
        <v>72.7</v>
      </c>
      <c r="J94" s="9">
        <v>62.1</v>
      </c>
      <c r="K94" s="9">
        <v>51.9</v>
      </c>
      <c r="L94" s="9">
        <v>41.2</v>
      </c>
      <c r="M94" s="9">
        <v>38.4</v>
      </c>
    </row>
    <row r="95" spans="1:13" ht="15" customHeight="1" x14ac:dyDescent="0.2">
      <c r="A95" s="1">
        <v>2001</v>
      </c>
      <c r="B95" s="9">
        <v>34.1</v>
      </c>
      <c r="C95" s="9">
        <v>40.200000000000003</v>
      </c>
      <c r="D95" s="9">
        <v>44</v>
      </c>
      <c r="E95" s="9">
        <v>52.1</v>
      </c>
      <c r="F95" s="9">
        <v>59.6</v>
      </c>
      <c r="G95" s="9">
        <v>67</v>
      </c>
      <c r="H95" s="9">
        <v>72.400000000000006</v>
      </c>
      <c r="I95" s="9">
        <v>68.900000000000006</v>
      </c>
      <c r="J95" s="9">
        <v>62.8</v>
      </c>
      <c r="K95" s="9">
        <v>52.6</v>
      </c>
      <c r="L95" s="9">
        <v>41.2</v>
      </c>
      <c r="M95" s="9">
        <v>33.4</v>
      </c>
    </row>
    <row r="96" spans="1:13" ht="15" customHeight="1" x14ac:dyDescent="0.2">
      <c r="A96" s="1">
        <v>2002</v>
      </c>
      <c r="B96" s="9">
        <v>36.799999999999997</v>
      </c>
      <c r="C96" s="9">
        <v>37.5</v>
      </c>
      <c r="D96" s="9">
        <v>42.7</v>
      </c>
      <c r="E96" s="9">
        <v>55.5</v>
      </c>
      <c r="F96" s="9">
        <v>58.1</v>
      </c>
      <c r="G96" s="9">
        <v>70</v>
      </c>
      <c r="H96" s="9">
        <v>71.099999999999994</v>
      </c>
      <c r="I96" s="9">
        <v>70.400000000000006</v>
      </c>
      <c r="J96" s="9">
        <v>63.6</v>
      </c>
      <c r="K96" s="9">
        <v>52</v>
      </c>
      <c r="L96" s="9">
        <v>43.8</v>
      </c>
      <c r="M96" s="9">
        <v>36.200000000000003</v>
      </c>
    </row>
    <row r="97" spans="1:13" ht="15" customHeight="1" x14ac:dyDescent="0.2">
      <c r="A97" s="1">
        <v>2003</v>
      </c>
      <c r="B97" s="9">
        <v>41.1</v>
      </c>
      <c r="C97" s="9">
        <v>40.6</v>
      </c>
      <c r="D97" s="9">
        <v>43.2</v>
      </c>
      <c r="E97" s="9">
        <v>48.4</v>
      </c>
      <c r="F97" s="9">
        <v>55.8</v>
      </c>
      <c r="G97" s="9">
        <v>64.5</v>
      </c>
      <c r="H97" s="9">
        <v>76.400000000000006</v>
      </c>
      <c r="I97" s="9">
        <v>72</v>
      </c>
      <c r="J97" s="9">
        <v>65.8</v>
      </c>
      <c r="K97" s="9">
        <v>59.7</v>
      </c>
      <c r="L97" s="9">
        <v>43.6</v>
      </c>
      <c r="M97" s="9">
        <v>35.4</v>
      </c>
    </row>
    <row r="98" spans="1:13" ht="15" customHeight="1" x14ac:dyDescent="0.2">
      <c r="A98" s="1">
        <v>2004</v>
      </c>
      <c r="B98" s="9">
        <v>36.799999999999997</v>
      </c>
      <c r="C98" s="9">
        <v>35.200000000000003</v>
      </c>
      <c r="D98" s="9">
        <v>41.4</v>
      </c>
      <c r="E98" s="9">
        <v>48.4</v>
      </c>
      <c r="F98" s="9">
        <v>55.8</v>
      </c>
      <c r="G98" s="9">
        <v>64.7</v>
      </c>
      <c r="H98" s="9">
        <v>70.2</v>
      </c>
      <c r="I98" s="9">
        <v>68.8</v>
      </c>
      <c r="J98" s="9">
        <v>62.8</v>
      </c>
      <c r="K98" s="9">
        <v>52.6</v>
      </c>
      <c r="L98" s="9">
        <v>42</v>
      </c>
      <c r="M98" s="9">
        <v>34.6</v>
      </c>
    </row>
    <row r="99" spans="1:13" ht="15" customHeight="1" x14ac:dyDescent="0.2">
      <c r="A99" s="1">
        <v>2005</v>
      </c>
      <c r="B99" s="9">
        <v>34.4</v>
      </c>
      <c r="C99" s="9">
        <v>40.799999999999997</v>
      </c>
      <c r="D99" s="9">
        <v>43.5</v>
      </c>
      <c r="E99" s="9">
        <v>44.7</v>
      </c>
      <c r="F99" s="9">
        <v>55.8</v>
      </c>
      <c r="G99" s="9">
        <v>62.1</v>
      </c>
      <c r="H99" s="9">
        <v>72.3</v>
      </c>
      <c r="I99" s="9">
        <v>70.099999999999994</v>
      </c>
      <c r="J99" s="9">
        <v>66.7</v>
      </c>
      <c r="K99" s="9">
        <v>48.5</v>
      </c>
      <c r="L99" s="9">
        <v>44.4</v>
      </c>
      <c r="M99" s="9">
        <v>38.630000000000003</v>
      </c>
    </row>
    <row r="100" spans="1:13" ht="15" customHeight="1" x14ac:dyDescent="0.2">
      <c r="A100" s="1">
        <v>2006</v>
      </c>
      <c r="B100" s="9">
        <v>37.200000000000003</v>
      </c>
      <c r="C100" s="9">
        <v>42.2</v>
      </c>
      <c r="D100" s="9">
        <v>39.4</v>
      </c>
      <c r="E100" s="9">
        <v>44.7</v>
      </c>
      <c r="F100" s="9">
        <v>54.9</v>
      </c>
      <c r="G100" s="9">
        <v>62.5</v>
      </c>
      <c r="H100" s="9">
        <v>68.3</v>
      </c>
      <c r="I100" s="9">
        <v>62.2</v>
      </c>
      <c r="J100" s="9">
        <v>54</v>
      </c>
      <c r="K100" s="9">
        <v>47.9</v>
      </c>
      <c r="L100" s="9">
        <v>37.4</v>
      </c>
      <c r="M100" s="9">
        <v>27.2</v>
      </c>
    </row>
    <row r="101" spans="1:13" ht="15" customHeight="1" x14ac:dyDescent="0.2">
      <c r="A101" s="1">
        <v>2007</v>
      </c>
      <c r="B101" s="9">
        <v>25.1</v>
      </c>
      <c r="C101" s="9">
        <v>31.7</v>
      </c>
      <c r="D101" s="9">
        <v>36.4</v>
      </c>
      <c r="E101" s="9">
        <v>44.8</v>
      </c>
      <c r="F101" s="9">
        <v>51.2</v>
      </c>
      <c r="G101" s="9">
        <v>67.400000000000006</v>
      </c>
      <c r="H101" s="9">
        <v>65.400000000000006</v>
      </c>
      <c r="I101" s="9">
        <v>74.099999999999994</v>
      </c>
      <c r="J101" s="9">
        <v>65.3</v>
      </c>
      <c r="K101" s="9">
        <v>54.8</v>
      </c>
      <c r="L101" s="9">
        <v>45.1</v>
      </c>
      <c r="M101" s="9">
        <v>34.9</v>
      </c>
    </row>
    <row r="102" spans="1:13" ht="15" customHeight="1" x14ac:dyDescent="0.2">
      <c r="A102" s="1">
        <v>2008</v>
      </c>
      <c r="B102" s="9">
        <v>33.28</v>
      </c>
      <c r="C102" s="9">
        <v>39.4</v>
      </c>
      <c r="D102" s="9">
        <v>39.700000000000003</v>
      </c>
      <c r="E102" s="9">
        <v>48.6</v>
      </c>
      <c r="F102" s="9">
        <v>57.11</v>
      </c>
      <c r="G102" s="9">
        <v>66.099999999999994</v>
      </c>
      <c r="H102" s="9">
        <v>70.84</v>
      </c>
      <c r="I102" s="9">
        <v>68.900000000000006</v>
      </c>
      <c r="J102" s="9">
        <v>63</v>
      </c>
      <c r="K102" s="9">
        <v>52.4</v>
      </c>
      <c r="L102" s="9">
        <v>47.6</v>
      </c>
      <c r="M102" s="9">
        <v>40.200000000000003</v>
      </c>
    </row>
    <row r="103" spans="1:13" ht="15" customHeight="1" x14ac:dyDescent="0.2">
      <c r="A103" s="1">
        <v>2009</v>
      </c>
      <c r="B103" s="9">
        <v>40.4</v>
      </c>
      <c r="C103" s="9">
        <v>41.1</v>
      </c>
      <c r="D103" s="9">
        <v>46.7</v>
      </c>
      <c r="E103" s="9">
        <v>48.8</v>
      </c>
      <c r="F103" s="9">
        <v>61.7</v>
      </c>
      <c r="G103" s="9">
        <v>63.7</v>
      </c>
      <c r="H103" s="9">
        <v>67.400000000000006</v>
      </c>
      <c r="I103" s="9">
        <v>68.099999999999994</v>
      </c>
      <c r="J103" s="9">
        <v>60.9</v>
      </c>
      <c r="K103" s="9">
        <v>47.9</v>
      </c>
      <c r="L103" s="9">
        <v>46.3</v>
      </c>
      <c r="M103" s="9">
        <v>32.700000000000003</v>
      </c>
    </row>
    <row r="104" spans="1:13" ht="15" customHeight="1" x14ac:dyDescent="0.2">
      <c r="A104" s="1">
        <v>2010</v>
      </c>
      <c r="B104" s="9">
        <v>34.700000000000003</v>
      </c>
      <c r="C104" s="9">
        <v>36</v>
      </c>
      <c r="D104" s="9">
        <v>42.4</v>
      </c>
      <c r="E104" s="9">
        <v>50</v>
      </c>
      <c r="F104" s="9">
        <v>50.3</v>
      </c>
      <c r="G104" s="9">
        <v>66.5</v>
      </c>
      <c r="H104" s="9">
        <v>71.099999999999994</v>
      </c>
      <c r="I104" s="9">
        <v>73.3</v>
      </c>
      <c r="J104" s="9">
        <v>67.3</v>
      </c>
      <c r="K104" s="9">
        <v>56.8</v>
      </c>
      <c r="L104" s="9">
        <v>41.3</v>
      </c>
      <c r="M104" s="9">
        <v>37.9</v>
      </c>
    </row>
    <row r="105" spans="1:13" ht="15" customHeight="1" x14ac:dyDescent="0.2">
      <c r="A105" s="1">
        <v>2011</v>
      </c>
      <c r="B105" s="9">
        <f>30.3+4</f>
        <v>34.299999999999997</v>
      </c>
      <c r="C105" s="9">
        <f>32.4+4</f>
        <v>36.4</v>
      </c>
      <c r="D105" s="9">
        <f>43+4</f>
        <v>47</v>
      </c>
      <c r="E105" s="9">
        <f>48.6+4</f>
        <v>52.6</v>
      </c>
      <c r="F105" s="9">
        <f>50.4+4</f>
        <v>54.4</v>
      </c>
      <c r="G105" s="9">
        <f>61+5</f>
        <v>66</v>
      </c>
      <c r="H105" s="9">
        <f>67.6+5</f>
        <v>72.599999999999994</v>
      </c>
      <c r="I105" s="9">
        <f>67.6+5</f>
        <v>72.599999999999994</v>
      </c>
      <c r="J105" s="9">
        <f>59.1+5</f>
        <v>64.099999999999994</v>
      </c>
      <c r="K105" s="9">
        <f>48.7+4</f>
        <v>52.7</v>
      </c>
      <c r="L105" s="9">
        <f>38.6+4</f>
        <v>42.6</v>
      </c>
      <c r="M105" s="9">
        <f>28.9+4</f>
        <v>32.9</v>
      </c>
    </row>
    <row r="106" spans="1:13" ht="15" customHeight="1" x14ac:dyDescent="0.2">
      <c r="A106" s="1">
        <v>2012</v>
      </c>
      <c r="B106" s="9">
        <v>39.299999999999997</v>
      </c>
      <c r="C106" s="9">
        <v>39.200000000000003</v>
      </c>
      <c r="D106" s="9">
        <v>43.4</v>
      </c>
      <c r="E106" s="9">
        <v>51.5</v>
      </c>
      <c r="F106" s="9">
        <v>57.8</v>
      </c>
      <c r="G106" s="9">
        <v>68.5</v>
      </c>
      <c r="H106" s="9">
        <v>72.8</v>
      </c>
      <c r="I106" s="9">
        <v>70.900000000000006</v>
      </c>
      <c r="J106" s="9">
        <v>64.3</v>
      </c>
      <c r="K106" s="9">
        <v>54.3</v>
      </c>
      <c r="L106" s="9">
        <v>44.6</v>
      </c>
      <c r="M106" s="9">
        <v>35.4</v>
      </c>
    </row>
    <row r="107" spans="1:13" ht="15" customHeight="1" x14ac:dyDescent="0.2">
      <c r="A107" s="1">
        <v>2013</v>
      </c>
      <c r="B107" s="9">
        <v>32.9</v>
      </c>
      <c r="C107" s="9">
        <v>34.299999999999997</v>
      </c>
      <c r="D107" s="9">
        <v>45.1</v>
      </c>
      <c r="E107" s="9">
        <v>50.2</v>
      </c>
      <c r="F107" s="9">
        <v>57.2</v>
      </c>
      <c r="G107" s="9">
        <v>69.400000000000006</v>
      </c>
      <c r="H107" s="9">
        <v>71.400000000000006</v>
      </c>
      <c r="I107" s="9">
        <v>69.8</v>
      </c>
      <c r="J107" s="9">
        <v>63.7</v>
      </c>
      <c r="K107" s="9">
        <v>49.5</v>
      </c>
      <c r="L107" s="9">
        <v>43.7</v>
      </c>
      <c r="M107" s="9">
        <v>37.4</v>
      </c>
    </row>
    <row r="108" spans="1:13" ht="15" customHeight="1" x14ac:dyDescent="0.2">
      <c r="A108" s="1">
        <v>2014</v>
      </c>
      <c r="B108" s="9">
        <v>34.9</v>
      </c>
      <c r="C108" s="9">
        <v>40.6</v>
      </c>
      <c r="D108" s="9">
        <v>43.6</v>
      </c>
      <c r="E108" s="9">
        <v>50.9</v>
      </c>
      <c r="F108" s="9">
        <v>62.4</v>
      </c>
      <c r="G108" s="9">
        <v>74.900000000000006</v>
      </c>
      <c r="H108" s="9">
        <v>73.099999999999994</v>
      </c>
      <c r="I108" s="9">
        <v>69.400000000000006</v>
      </c>
      <c r="J108" s="9">
        <v>68.5</v>
      </c>
      <c r="K108" s="9">
        <v>55.4</v>
      </c>
      <c r="L108" s="9">
        <v>38.299999999999997</v>
      </c>
      <c r="M108" s="9">
        <v>38</v>
      </c>
    </row>
    <row r="109" spans="1:13" ht="15" customHeight="1" x14ac:dyDescent="0.2">
      <c r="A109" s="1">
        <v>2015</v>
      </c>
      <c r="B109" s="9">
        <v>37.9</v>
      </c>
      <c r="C109" s="9">
        <v>42.6</v>
      </c>
      <c r="D109" s="9">
        <v>47.6</v>
      </c>
      <c r="E109" s="9">
        <v>49.6</v>
      </c>
      <c r="F109" s="9">
        <v>56.3</v>
      </c>
      <c r="G109" s="9">
        <v>65.099999999999994</v>
      </c>
      <c r="H109" s="9">
        <v>70.900000000000006</v>
      </c>
      <c r="I109" s="9">
        <v>72.400000000000006</v>
      </c>
      <c r="J109" s="9">
        <v>68.599999999999994</v>
      </c>
      <c r="K109" s="9">
        <v>56</v>
      </c>
      <c r="L109" s="9">
        <v>42.4</v>
      </c>
      <c r="M109" s="9">
        <v>34.700000000000003</v>
      </c>
    </row>
    <row r="110" spans="1:13" ht="15" customHeight="1" x14ac:dyDescent="0.2">
      <c r="A110" s="1">
        <v>2016</v>
      </c>
      <c r="B110" s="9">
        <v>35.1</v>
      </c>
      <c r="C110" s="9">
        <v>41.1</v>
      </c>
      <c r="D110" s="9">
        <f>51.4-6</f>
        <v>45.4</v>
      </c>
      <c r="E110" s="9">
        <f>55-6</f>
        <v>49</v>
      </c>
      <c r="F110" s="9">
        <f>61.1-6</f>
        <v>55.1</v>
      </c>
      <c r="G110" s="9">
        <f>72.9-6</f>
        <v>66.900000000000006</v>
      </c>
      <c r="H110" s="9">
        <v>72.900000000000006</v>
      </c>
      <c r="I110" s="9">
        <f>71-5</f>
        <v>66</v>
      </c>
      <c r="J110" s="9">
        <f>67.3-5</f>
        <v>62.3</v>
      </c>
      <c r="K110" s="9">
        <f>60.2-6</f>
        <v>54.2</v>
      </c>
      <c r="L110" s="9">
        <f>49.4-6</f>
        <v>43.4</v>
      </c>
      <c r="M110" s="9">
        <f>44-6</f>
        <v>38</v>
      </c>
    </row>
    <row r="111" spans="1:13" ht="15" customHeight="1" x14ac:dyDescent="0.2">
      <c r="A111" s="1">
        <v>2017</v>
      </c>
      <c r="B111" s="9">
        <f>41-6</f>
        <v>35</v>
      </c>
      <c r="C111" s="9">
        <f>45.7-6</f>
        <v>39.700000000000003</v>
      </c>
      <c r="D111" s="9">
        <f>49-6</f>
        <v>43</v>
      </c>
      <c r="E111" s="9">
        <v>50</v>
      </c>
      <c r="F111" s="9">
        <v>56.1</v>
      </c>
      <c r="G111" s="9">
        <f>72.5-6</f>
        <v>66.5</v>
      </c>
      <c r="H111" s="9">
        <f>74.8-5</f>
        <v>69.8</v>
      </c>
      <c r="I111" s="9">
        <f>71.7-5</f>
        <v>66.7</v>
      </c>
      <c r="J111" s="9">
        <f>66.8-5</f>
        <v>61.8</v>
      </c>
      <c r="K111" s="9">
        <f>60.5-6</f>
        <v>54.5</v>
      </c>
      <c r="L111" s="9">
        <f>53.8-6</f>
        <v>47.8</v>
      </c>
      <c r="M111" s="9">
        <f>42.3-6</f>
        <v>36.299999999999997</v>
      </c>
    </row>
    <row r="112" spans="1:13" ht="15" customHeight="1" x14ac:dyDescent="0.2">
      <c r="A112" s="1">
        <v>2018</v>
      </c>
      <c r="B112" s="9">
        <v>37</v>
      </c>
      <c r="C112" s="9">
        <v>39.799999999999997</v>
      </c>
      <c r="D112" s="9">
        <v>45.7</v>
      </c>
      <c r="E112" s="9">
        <v>53.1</v>
      </c>
      <c r="F112" s="9">
        <v>61.5</v>
      </c>
      <c r="G112" s="9">
        <v>76.3</v>
      </c>
      <c r="H112" s="9">
        <v>75.8</v>
      </c>
      <c r="I112" s="9">
        <v>72.599999999999994</v>
      </c>
      <c r="J112" s="9">
        <v>68</v>
      </c>
      <c r="K112" s="9">
        <v>50.7</v>
      </c>
      <c r="L112" s="9">
        <v>40.200000000000003</v>
      </c>
      <c r="M112" s="9">
        <v>36.200000000000003</v>
      </c>
    </row>
    <row r="113" spans="1:13" ht="15" customHeight="1" x14ac:dyDescent="0.2">
      <c r="A113" s="1">
        <v>2019</v>
      </c>
      <c r="B113" s="9">
        <v>35.200000000000003</v>
      </c>
      <c r="C113" s="9">
        <v>34.5</v>
      </c>
      <c r="D113" s="9">
        <v>43.3</v>
      </c>
      <c r="E113" s="9">
        <v>49.1</v>
      </c>
      <c r="F113" s="9">
        <v>51.7</v>
      </c>
      <c r="G113" s="9">
        <v>62.3</v>
      </c>
      <c r="H113" s="9">
        <v>69.5</v>
      </c>
      <c r="I113" s="9">
        <v>69.099999999999994</v>
      </c>
      <c r="J113" s="9">
        <v>62.5</v>
      </c>
      <c r="K113" s="9">
        <v>51.6</v>
      </c>
      <c r="L113" s="9">
        <v>43.6</v>
      </c>
      <c r="M113" s="9">
        <v>35.200000000000003</v>
      </c>
    </row>
    <row r="114" spans="1:13" ht="15" customHeight="1" x14ac:dyDescent="0.2">
      <c r="A114" s="1">
        <v>2020</v>
      </c>
      <c r="B114" s="9">
        <v>34.85</v>
      </c>
      <c r="C114" s="9">
        <v>38.479999999999997</v>
      </c>
      <c r="D114" s="9">
        <v>45.45</v>
      </c>
      <c r="E114" s="9">
        <v>53.09</v>
      </c>
      <c r="F114" s="9">
        <v>63.26</v>
      </c>
      <c r="G114" s="9">
        <v>70.75</v>
      </c>
      <c r="H114" s="9">
        <v>73.67</v>
      </c>
      <c r="I114" s="9">
        <v>73.34</v>
      </c>
      <c r="J114" s="9">
        <v>65.42</v>
      </c>
      <c r="K114" s="9">
        <v>54.45</v>
      </c>
      <c r="L114" s="9">
        <v>43.63</v>
      </c>
      <c r="M114" s="9">
        <v>32.69</v>
      </c>
    </row>
    <row r="115" spans="1:13" ht="15" customHeight="1" x14ac:dyDescent="0.2">
      <c r="A115" s="1">
        <v>2021</v>
      </c>
      <c r="B115" s="9">
        <v>34.200000000000003</v>
      </c>
      <c r="C115" s="9">
        <v>38.4</v>
      </c>
      <c r="D115" s="9">
        <v>43.3</v>
      </c>
      <c r="E115" s="9">
        <v>53.6</v>
      </c>
      <c r="F115" s="9">
        <v>62.2</v>
      </c>
      <c r="G115" s="9">
        <v>73.7</v>
      </c>
      <c r="H115" s="9">
        <v>71.2</v>
      </c>
      <c r="I115" s="9">
        <v>68.400000000000006</v>
      </c>
      <c r="J115" s="9">
        <v>64.900000000000006</v>
      </c>
      <c r="K115" s="9">
        <v>52</v>
      </c>
      <c r="L115" s="9">
        <v>44.5</v>
      </c>
      <c r="M115" s="9">
        <v>38.5</v>
      </c>
    </row>
    <row r="116" spans="1:13" ht="15" customHeight="1" x14ac:dyDescent="0.2">
      <c r="A116" s="1">
        <v>2022</v>
      </c>
      <c r="B116" s="9">
        <v>36.351900000000001</v>
      </c>
      <c r="C116" s="9">
        <v>34.834800000000001</v>
      </c>
      <c r="D116" s="9">
        <v>41.730400000000003</v>
      </c>
      <c r="E116" s="9">
        <v>50.889200000000002</v>
      </c>
      <c r="F116" s="9">
        <v>59.608899999999998</v>
      </c>
      <c r="G116" s="9">
        <v>67.794799999999995</v>
      </c>
      <c r="H116" s="9">
        <v>71.578199999999995</v>
      </c>
      <c r="I116" s="9">
        <v>69.360600000000005</v>
      </c>
      <c r="J116" s="9">
        <v>65.126300000000001</v>
      </c>
      <c r="K116" s="9">
        <v>51.177700000000002</v>
      </c>
      <c r="L116" s="9">
        <v>37.831499999999998</v>
      </c>
      <c r="M116" s="9">
        <v>36.9178</v>
      </c>
    </row>
    <row r="117" spans="1:13" ht="15" customHeight="1" x14ac:dyDescent="0.2">
      <c r="A117" s="1">
        <v>2023</v>
      </c>
      <c r="B117" s="1">
        <v>32.5</v>
      </c>
      <c r="C117" s="1">
        <v>34.6</v>
      </c>
      <c r="D117" s="1">
        <v>41.7</v>
      </c>
      <c r="E117" s="1">
        <v>49.2</v>
      </c>
      <c r="F117" s="1">
        <v>58.5</v>
      </c>
      <c r="G117" s="1">
        <v>64.8</v>
      </c>
      <c r="H117" s="1">
        <v>76.8</v>
      </c>
      <c r="I117" s="1">
        <v>71.099999999999994</v>
      </c>
      <c r="J117" s="1">
        <v>64.5</v>
      </c>
      <c r="K117" s="1">
        <v>53.4</v>
      </c>
      <c r="L117" s="1">
        <v>42.9</v>
      </c>
      <c r="M117" s="1">
        <v>36.4</v>
      </c>
    </row>
    <row r="118" spans="1:13" ht="15" customHeight="1" x14ac:dyDescent="0.2">
      <c r="A118" s="1">
        <v>2024</v>
      </c>
      <c r="B118" s="1">
        <v>34</v>
      </c>
      <c r="C118" s="1">
        <v>39.9</v>
      </c>
      <c r="D118" s="1">
        <v>42.2</v>
      </c>
      <c r="E118" s="1">
        <v>48.9</v>
      </c>
      <c r="F118" s="1">
        <v>56.7</v>
      </c>
      <c r="G118" s="1">
        <v>70.599999999999994</v>
      </c>
      <c r="H118" s="1">
        <v>72.7</v>
      </c>
      <c r="I118" s="1">
        <v>71.599999999999994</v>
      </c>
      <c r="J118" s="1">
        <v>64.599999999999994</v>
      </c>
      <c r="K118" s="1">
        <v>56.5</v>
      </c>
      <c r="L118" s="1">
        <v>39.4</v>
      </c>
      <c r="M118" s="1">
        <v>38.9</v>
      </c>
    </row>
    <row r="119" spans="1:13" ht="15" customHeight="1" x14ac:dyDescent="0.2">
      <c r="A119" s="2" t="s">
        <v>106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" customHeight="1" x14ac:dyDescent="0.2">
      <c r="A120" s="1">
        <v>1968</v>
      </c>
      <c r="B120" s="1" t="s">
        <v>19</v>
      </c>
    </row>
    <row r="121" spans="1:13" ht="15" customHeight="1" x14ac:dyDescent="0.2">
      <c r="A121" s="1">
        <v>1969</v>
      </c>
      <c r="B121" s="1" t="s">
        <v>163</v>
      </c>
    </row>
    <row r="122" spans="1:13" ht="15" customHeight="1" x14ac:dyDescent="0.2">
      <c r="A122" s="1">
        <v>1970</v>
      </c>
      <c r="B122" s="1" t="s">
        <v>19</v>
      </c>
    </row>
    <row r="123" spans="1:13" ht="15" customHeight="1" x14ac:dyDescent="0.2">
      <c r="A123" s="1">
        <v>1971</v>
      </c>
      <c r="B123" s="1" t="s">
        <v>23</v>
      </c>
    </row>
    <row r="124" spans="1:13" ht="15" customHeight="1" x14ac:dyDescent="0.2">
      <c r="A124" s="1">
        <v>1972</v>
      </c>
      <c r="B124" s="1" t="s">
        <v>28</v>
      </c>
    </row>
    <row r="125" spans="1:13" ht="15" customHeight="1" x14ac:dyDescent="0.2">
      <c r="A125" s="1">
        <v>1973</v>
      </c>
      <c r="B125" s="1" t="s">
        <v>19</v>
      </c>
    </row>
    <row r="126" spans="1:13" ht="15" customHeight="1" x14ac:dyDescent="0.2">
      <c r="A126" s="1">
        <v>1974</v>
      </c>
      <c r="B126" s="1" t="s">
        <v>19</v>
      </c>
    </row>
    <row r="127" spans="1:13" ht="15" customHeight="1" x14ac:dyDescent="0.2">
      <c r="A127" s="1">
        <v>1975</v>
      </c>
      <c r="B127" s="1" t="s">
        <v>19</v>
      </c>
    </row>
    <row r="128" spans="1:13" ht="15" customHeight="1" x14ac:dyDescent="0.2">
      <c r="A128" s="1">
        <v>1976</v>
      </c>
      <c r="B128" s="1" t="s">
        <v>19</v>
      </c>
    </row>
    <row r="129" spans="1:2" ht="15" customHeight="1" x14ac:dyDescent="0.2">
      <c r="A129" s="1">
        <v>1977</v>
      </c>
      <c r="B129" s="1" t="s">
        <v>19</v>
      </c>
    </row>
    <row r="130" spans="1:2" ht="15" customHeight="1" x14ac:dyDescent="0.2">
      <c r="A130" s="1">
        <v>1978</v>
      </c>
      <c r="B130" s="1" t="s">
        <v>19</v>
      </c>
    </row>
    <row r="131" spans="1:2" ht="15" customHeight="1" x14ac:dyDescent="0.2">
      <c r="A131" s="1">
        <v>1979</v>
      </c>
      <c r="B131" s="1" t="s">
        <v>19</v>
      </c>
    </row>
    <row r="132" spans="1:2" ht="15" customHeight="1" x14ac:dyDescent="0.2">
      <c r="A132" s="1">
        <v>1980</v>
      </c>
      <c r="B132" s="1" t="s">
        <v>50</v>
      </c>
    </row>
    <row r="133" spans="1:2" ht="15" customHeight="1" x14ac:dyDescent="0.2">
      <c r="A133" s="1">
        <v>1981</v>
      </c>
      <c r="B133" s="1" t="s">
        <v>52</v>
      </c>
    </row>
    <row r="134" spans="1:2" ht="15" customHeight="1" x14ac:dyDescent="0.2">
      <c r="A134" s="1">
        <v>1982</v>
      </c>
      <c r="B134" s="1" t="s">
        <v>19</v>
      </c>
    </row>
    <row r="135" spans="1:2" ht="15" customHeight="1" x14ac:dyDescent="0.2">
      <c r="A135" s="1">
        <v>1983</v>
      </c>
      <c r="B135" s="1" t="s">
        <v>19</v>
      </c>
    </row>
    <row r="136" spans="1:2" ht="15" customHeight="1" x14ac:dyDescent="0.2">
      <c r="A136" s="1">
        <v>1984</v>
      </c>
      <c r="B136" s="1" t="s">
        <v>19</v>
      </c>
    </row>
    <row r="137" spans="1:2" ht="15" customHeight="1" x14ac:dyDescent="0.2">
      <c r="A137" s="1">
        <v>1985</v>
      </c>
      <c r="B137" s="1" t="s">
        <v>19</v>
      </c>
    </row>
    <row r="138" spans="1:2" ht="15" customHeight="1" x14ac:dyDescent="0.2">
      <c r="A138" s="1">
        <v>1986</v>
      </c>
      <c r="B138" s="1" t="s">
        <v>19</v>
      </c>
    </row>
    <row r="139" spans="1:2" ht="15" customHeight="1" x14ac:dyDescent="0.2">
      <c r="A139" s="1">
        <v>1987</v>
      </c>
      <c r="B139" s="1" t="s">
        <v>19</v>
      </c>
    </row>
    <row r="140" spans="1:2" ht="15" customHeight="1" x14ac:dyDescent="0.2">
      <c r="A140" s="1">
        <v>1988</v>
      </c>
      <c r="B140" s="1" t="s">
        <v>54</v>
      </c>
    </row>
    <row r="141" spans="1:2" ht="15" customHeight="1" x14ac:dyDescent="0.2">
      <c r="A141" s="1">
        <v>1989</v>
      </c>
      <c r="B141" s="1" t="s">
        <v>55</v>
      </c>
    </row>
    <row r="142" spans="1:2" ht="15" customHeight="1" x14ac:dyDescent="0.2">
      <c r="A142" s="1">
        <v>1990</v>
      </c>
      <c r="B142" s="1" t="s">
        <v>56</v>
      </c>
    </row>
    <row r="143" spans="1:2" ht="15" customHeight="1" x14ac:dyDescent="0.2">
      <c r="A143" s="1">
        <v>1991</v>
      </c>
      <c r="B143" s="1" t="s">
        <v>58</v>
      </c>
    </row>
    <row r="144" spans="1:2" ht="15" customHeight="1" x14ac:dyDescent="0.2">
      <c r="A144" s="1">
        <v>1992</v>
      </c>
      <c r="B144" s="1" t="s">
        <v>60</v>
      </c>
    </row>
    <row r="145" spans="1:12" ht="15" customHeight="1" x14ac:dyDescent="0.2">
      <c r="A145" s="1">
        <v>1993</v>
      </c>
      <c r="B145" s="6" t="s">
        <v>171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ht="15" customHeight="1" x14ac:dyDescent="0.2">
      <c r="B146" s="6" t="s">
        <v>172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ht="15" customHeight="1" x14ac:dyDescent="0.2">
      <c r="A147" s="1">
        <v>1994</v>
      </c>
      <c r="B147" s="6" t="s">
        <v>170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ht="15" customHeight="1" x14ac:dyDescent="0.2">
      <c r="B148" s="6" t="s">
        <v>169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ht="15" customHeight="1" x14ac:dyDescent="0.2">
      <c r="A149" s="1">
        <v>1995</v>
      </c>
      <c r="B149" s="6" t="s">
        <v>65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ht="15" customHeight="1" x14ac:dyDescent="0.2">
      <c r="A150" s="1">
        <v>1996</v>
      </c>
      <c r="B150" s="1" t="s">
        <v>68</v>
      </c>
    </row>
    <row r="151" spans="1:12" ht="15" customHeight="1" x14ac:dyDescent="0.2">
      <c r="A151" s="1">
        <v>1997</v>
      </c>
      <c r="B151" s="6" t="s">
        <v>164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ht="15" customHeight="1" x14ac:dyDescent="0.2">
      <c r="A152" s="1">
        <v>1998</v>
      </c>
      <c r="B152" s="1" t="s">
        <v>19</v>
      </c>
    </row>
    <row r="153" spans="1:12" ht="15" customHeight="1" x14ac:dyDescent="0.2">
      <c r="A153" s="1">
        <v>1999</v>
      </c>
      <c r="B153" s="1" t="s">
        <v>70</v>
      </c>
    </row>
    <row r="154" spans="1:12" ht="15" customHeight="1" x14ac:dyDescent="0.2">
      <c r="A154" s="1">
        <v>2000</v>
      </c>
      <c r="B154" s="1" t="s">
        <v>70</v>
      </c>
    </row>
    <row r="155" spans="1:12" ht="15" customHeight="1" x14ac:dyDescent="0.2">
      <c r="A155" s="1">
        <v>2001</v>
      </c>
      <c r="B155" s="1" t="s">
        <v>165</v>
      </c>
    </row>
    <row r="156" spans="1:12" ht="15" customHeight="1" x14ac:dyDescent="0.2">
      <c r="A156" s="1">
        <v>2002</v>
      </c>
      <c r="B156" s="1" t="s">
        <v>19</v>
      </c>
    </row>
    <row r="157" spans="1:12" ht="15" customHeight="1" x14ac:dyDescent="0.2">
      <c r="A157" s="1">
        <v>2003</v>
      </c>
      <c r="B157" s="1" t="s">
        <v>166</v>
      </c>
    </row>
    <row r="158" spans="1:12" ht="15" customHeight="1" x14ac:dyDescent="0.2">
      <c r="A158" s="1">
        <v>2004</v>
      </c>
      <c r="B158" s="1" t="s">
        <v>167</v>
      </c>
    </row>
    <row r="159" spans="1:12" ht="15" customHeight="1" x14ac:dyDescent="0.2">
      <c r="A159" s="1">
        <v>2005</v>
      </c>
      <c r="B159" s="1" t="s">
        <v>168</v>
      </c>
    </row>
    <row r="160" spans="1:12" ht="15" customHeight="1" x14ac:dyDescent="0.2">
      <c r="B160" s="1" t="s">
        <v>95</v>
      </c>
    </row>
    <row r="161" spans="1:2" ht="15" customHeight="1" x14ac:dyDescent="0.2">
      <c r="A161" s="1">
        <v>2006</v>
      </c>
      <c r="B161" s="1" t="s">
        <v>109</v>
      </c>
    </row>
    <row r="162" spans="1:2" ht="15" customHeight="1" x14ac:dyDescent="0.2">
      <c r="B162" s="1" t="s">
        <v>111</v>
      </c>
    </row>
    <row r="163" spans="1:2" ht="15" customHeight="1" x14ac:dyDescent="0.2">
      <c r="A163" s="1">
        <v>2007</v>
      </c>
      <c r="B163" s="1" t="s">
        <v>114</v>
      </c>
    </row>
    <row r="164" spans="1:2" ht="15" customHeight="1" x14ac:dyDescent="0.2">
      <c r="A164" s="1">
        <v>2008</v>
      </c>
      <c r="B164" s="1" t="s">
        <v>143</v>
      </c>
    </row>
    <row r="165" spans="1:2" ht="15" customHeight="1" x14ac:dyDescent="0.2">
      <c r="A165" s="1">
        <v>2009</v>
      </c>
      <c r="B165" s="1" t="s">
        <v>183</v>
      </c>
    </row>
    <row r="166" spans="1:2" ht="15" customHeight="1" x14ac:dyDescent="0.2">
      <c r="A166" s="1">
        <v>2010</v>
      </c>
      <c r="B166" s="1" t="s">
        <v>187</v>
      </c>
    </row>
    <row r="167" spans="1:2" ht="15" customHeight="1" x14ac:dyDescent="0.2">
      <c r="A167" s="1">
        <v>2011</v>
      </c>
      <c r="B167" s="1" t="s">
        <v>190</v>
      </c>
    </row>
    <row r="168" spans="1:2" ht="15" customHeight="1" x14ac:dyDescent="0.2">
      <c r="B168" s="1" t="s">
        <v>189</v>
      </c>
    </row>
    <row r="169" spans="1:2" ht="15" customHeight="1" x14ac:dyDescent="0.2">
      <c r="A169" s="1">
        <v>2012</v>
      </c>
      <c r="B169" s="1" t="s">
        <v>194</v>
      </c>
    </row>
    <row r="170" spans="1:2" ht="15" customHeight="1" x14ac:dyDescent="0.2">
      <c r="A170" s="1">
        <v>2013</v>
      </c>
      <c r="B170" s="1" t="s">
        <v>196</v>
      </c>
    </row>
    <row r="171" spans="1:2" ht="15" customHeight="1" x14ac:dyDescent="0.2">
      <c r="A171" s="1">
        <v>2014</v>
      </c>
      <c r="B171" s="1" t="s">
        <v>197</v>
      </c>
    </row>
    <row r="172" spans="1:2" ht="15" customHeight="1" x14ac:dyDescent="0.2">
      <c r="A172" s="1">
        <v>2015</v>
      </c>
      <c r="B172" s="1" t="s">
        <v>201</v>
      </c>
    </row>
    <row r="173" spans="1:2" ht="15" customHeight="1" x14ac:dyDescent="0.2">
      <c r="A173" s="1">
        <v>2016</v>
      </c>
      <c r="B173" s="1" t="s">
        <v>205</v>
      </c>
    </row>
    <row r="174" spans="1:2" ht="15" customHeight="1" x14ac:dyDescent="0.2">
      <c r="B174" s="1" t="s">
        <v>206</v>
      </c>
    </row>
    <row r="175" spans="1:2" ht="15" customHeight="1" x14ac:dyDescent="0.2">
      <c r="A175" s="1">
        <v>2017</v>
      </c>
      <c r="B175" s="1" t="s">
        <v>208</v>
      </c>
    </row>
    <row r="176" spans="1:2" ht="15" customHeight="1" x14ac:dyDescent="0.2">
      <c r="B176" s="1" t="s">
        <v>209</v>
      </c>
    </row>
    <row r="177" spans="1:12" ht="15" customHeight="1" x14ac:dyDescent="0.2">
      <c r="A177" s="1">
        <v>2018</v>
      </c>
      <c r="B177" s="1" t="s">
        <v>210</v>
      </c>
    </row>
    <row r="178" spans="1:12" ht="15" customHeight="1" x14ac:dyDescent="0.2">
      <c r="B178" s="1" t="s">
        <v>211</v>
      </c>
    </row>
    <row r="179" spans="1:12" ht="15" customHeight="1" x14ac:dyDescent="0.2">
      <c r="A179" s="1">
        <v>2019</v>
      </c>
      <c r="B179" s="1" t="s">
        <v>215</v>
      </c>
    </row>
    <row r="180" spans="1:12" ht="15" customHeight="1" x14ac:dyDescent="0.2">
      <c r="A180" s="1">
        <v>2020</v>
      </c>
      <c r="B180" s="14" t="s">
        <v>219</v>
      </c>
      <c r="J180" s="1" t="s">
        <v>216</v>
      </c>
    </row>
    <row r="181" spans="1:12" ht="15" customHeight="1" x14ac:dyDescent="0.2">
      <c r="A181" s="1">
        <v>2021</v>
      </c>
      <c r="B181" s="1" t="s">
        <v>222</v>
      </c>
    </row>
    <row r="182" spans="1:12" ht="15" customHeight="1" x14ac:dyDescent="0.2">
      <c r="A182" s="1">
        <v>2022</v>
      </c>
      <c r="B182" s="1" t="s">
        <v>226</v>
      </c>
    </row>
    <row r="183" spans="1:12" ht="15" customHeight="1" x14ac:dyDescent="0.2">
      <c r="A183" s="1">
        <v>2023</v>
      </c>
      <c r="B183" s="1" t="s">
        <v>226</v>
      </c>
    </row>
    <row r="184" spans="1:12" ht="15" customHeight="1" x14ac:dyDescent="0.2">
      <c r="A184" s="1">
        <v>2024</v>
      </c>
      <c r="B184" s="1" t="s">
        <v>236</v>
      </c>
    </row>
    <row r="185" spans="1:12" ht="15" customHeight="1" x14ac:dyDescent="0.2">
      <c r="A185" s="2" t="s">
        <v>4</v>
      </c>
      <c r="C185" s="2" t="s">
        <v>136</v>
      </c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" customHeight="1" x14ac:dyDescent="0.2">
      <c r="A186" s="2"/>
      <c r="B186" s="1" t="s">
        <v>137</v>
      </c>
      <c r="C186" s="2"/>
      <c r="D186" s="2"/>
      <c r="E186" s="1" t="s">
        <v>137</v>
      </c>
      <c r="F186" s="2"/>
      <c r="G186" s="2"/>
      <c r="H186" s="1" t="s">
        <v>140</v>
      </c>
      <c r="I186" s="2"/>
      <c r="J186" s="2"/>
      <c r="K186" s="1" t="s">
        <v>140</v>
      </c>
      <c r="L186" s="2"/>
    </row>
    <row r="187" spans="1:12" ht="15" customHeight="1" x14ac:dyDescent="0.2">
      <c r="B187" s="8" t="s">
        <v>139</v>
      </c>
      <c r="C187" s="8"/>
      <c r="E187" s="8" t="s">
        <v>138</v>
      </c>
      <c r="F187" s="8"/>
      <c r="H187" s="8" t="s">
        <v>138</v>
      </c>
      <c r="I187" s="8"/>
      <c r="K187" s="8" t="s">
        <v>139</v>
      </c>
      <c r="L187" s="8"/>
    </row>
    <row r="188" spans="1:12" ht="15" customHeight="1" x14ac:dyDescent="0.2">
      <c r="A188" s="1">
        <v>1968</v>
      </c>
      <c r="B188" s="1">
        <v>5</v>
      </c>
      <c r="C188" s="1">
        <v>16</v>
      </c>
      <c r="E188" s="1">
        <v>6</v>
      </c>
      <c r="F188" s="1">
        <v>10</v>
      </c>
      <c r="H188" s="1">
        <v>9</v>
      </c>
      <c r="I188" s="1">
        <v>17</v>
      </c>
      <c r="K188" s="1">
        <v>10</v>
      </c>
      <c r="L188" s="1">
        <v>16</v>
      </c>
    </row>
    <row r="189" spans="1:12" ht="15" customHeight="1" x14ac:dyDescent="0.2">
      <c r="A189" s="1">
        <v>1969</v>
      </c>
      <c r="B189" s="1">
        <v>5</v>
      </c>
      <c r="C189" s="1">
        <v>10</v>
      </c>
      <c r="E189" s="1">
        <v>6</v>
      </c>
      <c r="F189" s="1">
        <v>5</v>
      </c>
      <c r="H189" s="1">
        <v>10</v>
      </c>
      <c r="I189" s="1">
        <v>12</v>
      </c>
      <c r="K189" s="1">
        <v>10</v>
      </c>
      <c r="L189" s="1">
        <v>13</v>
      </c>
    </row>
    <row r="190" spans="1:12" ht="15" customHeight="1" x14ac:dyDescent="0.2">
      <c r="A190" s="1">
        <v>1970</v>
      </c>
      <c r="B190" s="1">
        <v>5</v>
      </c>
      <c r="C190" s="1">
        <v>5</v>
      </c>
      <c r="E190" s="1">
        <v>5</v>
      </c>
      <c r="F190" s="1">
        <v>15</v>
      </c>
      <c r="H190" s="1">
        <v>9</v>
      </c>
      <c r="I190" s="1">
        <v>23</v>
      </c>
      <c r="K190" s="1">
        <v>9</v>
      </c>
      <c r="L190" s="1">
        <v>23</v>
      </c>
    </row>
    <row r="191" spans="1:12" ht="15" customHeight="1" x14ac:dyDescent="0.2">
      <c r="A191" s="1">
        <v>1971</v>
      </c>
      <c r="B191" s="1">
        <v>6</v>
      </c>
      <c r="C191" s="1">
        <v>5</v>
      </c>
      <c r="E191" s="1">
        <v>6</v>
      </c>
      <c r="F191" s="1">
        <v>6</v>
      </c>
      <c r="H191" s="1">
        <v>9</v>
      </c>
      <c r="I191" s="1">
        <v>20</v>
      </c>
      <c r="K191" s="1">
        <v>10</v>
      </c>
      <c r="L191" s="1">
        <v>19</v>
      </c>
    </row>
    <row r="192" spans="1:12" ht="15" customHeight="1" x14ac:dyDescent="0.2">
      <c r="A192" s="1">
        <v>1972</v>
      </c>
      <c r="B192" s="1">
        <v>5</v>
      </c>
      <c r="C192" s="1">
        <v>24</v>
      </c>
      <c r="E192" s="1">
        <v>5</v>
      </c>
      <c r="F192" s="1">
        <v>26</v>
      </c>
      <c r="H192" s="1">
        <v>9</v>
      </c>
      <c r="I192" s="1">
        <v>26</v>
      </c>
      <c r="K192" s="1">
        <v>10</v>
      </c>
      <c r="L192" s="1">
        <v>23</v>
      </c>
    </row>
    <row r="193" spans="1:12" ht="15" customHeight="1" x14ac:dyDescent="0.2">
      <c r="A193" s="1">
        <v>1973</v>
      </c>
      <c r="B193" s="1">
        <v>5</v>
      </c>
      <c r="C193" s="1">
        <v>5</v>
      </c>
      <c r="E193" s="1">
        <v>6</v>
      </c>
      <c r="F193" s="1">
        <v>18</v>
      </c>
      <c r="H193" s="1">
        <v>9</v>
      </c>
      <c r="I193" s="1">
        <v>28</v>
      </c>
      <c r="K193" s="1">
        <v>9</v>
      </c>
      <c r="L193" s="1">
        <v>28</v>
      </c>
    </row>
    <row r="194" spans="1:12" ht="15" customHeight="1" x14ac:dyDescent="0.2">
      <c r="A194" s="1">
        <v>1974</v>
      </c>
      <c r="B194" s="1">
        <v>5</v>
      </c>
      <c r="C194" s="1">
        <v>25</v>
      </c>
      <c r="E194" s="1">
        <v>6</v>
      </c>
      <c r="F194" s="1">
        <v>2</v>
      </c>
      <c r="H194" s="1">
        <v>9</v>
      </c>
      <c r="I194" s="1">
        <v>29</v>
      </c>
      <c r="K194" s="1">
        <v>9</v>
      </c>
      <c r="L194" s="1">
        <v>29</v>
      </c>
    </row>
    <row r="195" spans="1:12" ht="15" customHeight="1" x14ac:dyDescent="0.2">
      <c r="A195" s="1">
        <v>1975</v>
      </c>
      <c r="B195" s="1">
        <v>5</v>
      </c>
      <c r="C195" s="1">
        <v>23</v>
      </c>
      <c r="E195" s="1">
        <v>6</v>
      </c>
      <c r="F195" s="1">
        <v>5</v>
      </c>
      <c r="H195" s="1">
        <v>9</v>
      </c>
      <c r="I195" s="1">
        <v>23</v>
      </c>
      <c r="K195" s="1">
        <v>10</v>
      </c>
      <c r="L195" s="1">
        <v>14</v>
      </c>
    </row>
    <row r="196" spans="1:12" ht="15" customHeight="1" x14ac:dyDescent="0.2">
      <c r="A196" s="1">
        <v>1976</v>
      </c>
      <c r="B196" s="1">
        <v>6</v>
      </c>
      <c r="C196" s="1">
        <v>12</v>
      </c>
      <c r="E196" s="1">
        <v>6</v>
      </c>
      <c r="F196" s="1">
        <v>26</v>
      </c>
      <c r="H196" s="1">
        <v>10</v>
      </c>
      <c r="I196" s="1">
        <v>5</v>
      </c>
      <c r="K196" s="1">
        <v>10</v>
      </c>
      <c r="L196" s="1">
        <v>8</v>
      </c>
    </row>
    <row r="197" spans="1:12" ht="15" customHeight="1" x14ac:dyDescent="0.2">
      <c r="A197" s="1">
        <v>1977</v>
      </c>
      <c r="B197" s="1">
        <v>5</v>
      </c>
      <c r="C197" s="1">
        <v>22</v>
      </c>
      <c r="E197" s="1">
        <v>5</v>
      </c>
      <c r="F197" s="1">
        <v>28</v>
      </c>
      <c r="H197" s="1">
        <v>10</v>
      </c>
      <c r="I197" s="1">
        <v>12</v>
      </c>
      <c r="K197" s="1">
        <v>10</v>
      </c>
      <c r="L197" s="1">
        <v>15</v>
      </c>
    </row>
    <row r="198" spans="1:12" ht="15" customHeight="1" x14ac:dyDescent="0.2">
      <c r="A198" s="1">
        <v>1978</v>
      </c>
      <c r="B198" s="1">
        <v>5</v>
      </c>
      <c r="C198" s="1">
        <v>20</v>
      </c>
      <c r="E198" s="1">
        <v>5</v>
      </c>
      <c r="F198" s="1">
        <v>30</v>
      </c>
      <c r="H198" s="1">
        <v>10</v>
      </c>
      <c r="I198" s="1">
        <v>5</v>
      </c>
      <c r="K198" s="1">
        <v>10</v>
      </c>
      <c r="L198" s="1">
        <v>11</v>
      </c>
    </row>
    <row r="199" spans="1:12" ht="15" customHeight="1" x14ac:dyDescent="0.2">
      <c r="A199" s="1">
        <v>1979</v>
      </c>
      <c r="B199" s="1">
        <v>5</v>
      </c>
      <c r="C199" s="1">
        <v>14</v>
      </c>
      <c r="E199" s="1">
        <v>5</v>
      </c>
      <c r="F199" s="1">
        <v>15</v>
      </c>
      <c r="H199" s="1">
        <v>10</v>
      </c>
      <c r="I199" s="1">
        <v>7</v>
      </c>
      <c r="K199" s="1">
        <v>10</v>
      </c>
      <c r="L199" s="1">
        <v>7</v>
      </c>
    </row>
    <row r="200" spans="1:12" ht="15" customHeight="1" x14ac:dyDescent="0.2">
      <c r="A200" s="1">
        <v>1980</v>
      </c>
      <c r="B200" s="1">
        <v>6</v>
      </c>
      <c r="C200" s="1">
        <v>4</v>
      </c>
      <c r="E200" s="1">
        <v>6</v>
      </c>
      <c r="F200" s="1">
        <v>5</v>
      </c>
      <c r="H200" s="1">
        <v>9</v>
      </c>
      <c r="I200" s="1">
        <v>25</v>
      </c>
      <c r="K200" s="1">
        <v>10</v>
      </c>
      <c r="L200" s="1">
        <v>16</v>
      </c>
    </row>
    <row r="201" spans="1:12" ht="15" customHeight="1" x14ac:dyDescent="0.2">
      <c r="A201" s="1">
        <v>1981</v>
      </c>
      <c r="B201" s="1">
        <v>5</v>
      </c>
      <c r="C201" s="1">
        <v>22</v>
      </c>
      <c r="E201" s="1">
        <v>6</v>
      </c>
      <c r="F201" s="1">
        <v>16</v>
      </c>
      <c r="H201" s="1">
        <v>10</v>
      </c>
      <c r="I201" s="1">
        <v>16</v>
      </c>
      <c r="K201" s="1">
        <v>10</v>
      </c>
      <c r="L201" s="1">
        <v>19</v>
      </c>
    </row>
    <row r="202" spans="1:12" ht="15" customHeight="1" x14ac:dyDescent="0.2">
      <c r="A202" s="1">
        <v>1982</v>
      </c>
      <c r="B202" s="1">
        <v>6</v>
      </c>
      <c r="C202" s="1">
        <v>2</v>
      </c>
      <c r="E202" s="1">
        <v>6</v>
      </c>
      <c r="F202" s="1">
        <v>4</v>
      </c>
      <c r="H202" s="1">
        <v>9</v>
      </c>
      <c r="I202" s="1">
        <v>29</v>
      </c>
      <c r="K202" s="1">
        <v>10</v>
      </c>
      <c r="L202" s="1">
        <v>2</v>
      </c>
    </row>
    <row r="203" spans="1:12" ht="15" customHeight="1" x14ac:dyDescent="0.2">
      <c r="A203" s="1">
        <v>1983</v>
      </c>
      <c r="B203" s="1">
        <v>6</v>
      </c>
      <c r="C203" s="1">
        <v>5</v>
      </c>
      <c r="E203" s="1">
        <v>6</v>
      </c>
      <c r="F203" s="1">
        <v>5</v>
      </c>
      <c r="H203" s="1">
        <v>10</v>
      </c>
      <c r="I203" s="1">
        <v>12</v>
      </c>
      <c r="K203" s="1">
        <v>11</v>
      </c>
      <c r="L203" s="1">
        <v>9</v>
      </c>
    </row>
    <row r="204" spans="1:12" ht="15" customHeight="1" x14ac:dyDescent="0.2">
      <c r="A204" s="1">
        <v>1984</v>
      </c>
      <c r="B204" s="1">
        <v>5</v>
      </c>
      <c r="C204" s="1">
        <v>1</v>
      </c>
      <c r="E204" s="1">
        <v>5</v>
      </c>
      <c r="F204" s="1">
        <v>11</v>
      </c>
      <c r="H204" s="1">
        <v>10</v>
      </c>
      <c r="I204" s="1">
        <v>7</v>
      </c>
      <c r="K204" s="1">
        <v>10</v>
      </c>
      <c r="L204" s="1">
        <v>16</v>
      </c>
    </row>
    <row r="205" spans="1:12" ht="15" customHeight="1" x14ac:dyDescent="0.2">
      <c r="A205" s="1">
        <v>1985</v>
      </c>
      <c r="B205" s="1">
        <v>5</v>
      </c>
      <c r="C205" s="1">
        <v>15</v>
      </c>
      <c r="E205" s="1">
        <v>6</v>
      </c>
      <c r="F205" s="1">
        <v>2</v>
      </c>
      <c r="H205" s="1">
        <v>9</v>
      </c>
      <c r="I205" s="1">
        <v>24</v>
      </c>
      <c r="K205" s="1">
        <v>10</v>
      </c>
      <c r="L205" s="1">
        <v>3</v>
      </c>
    </row>
    <row r="206" spans="1:12" ht="15" customHeight="1" x14ac:dyDescent="0.2">
      <c r="A206" s="1">
        <v>1986</v>
      </c>
      <c r="B206" s="1">
        <v>5</v>
      </c>
      <c r="C206" s="1">
        <v>15</v>
      </c>
      <c r="E206" s="1">
        <v>5</v>
      </c>
      <c r="F206" s="1">
        <v>22</v>
      </c>
      <c r="H206" s="1">
        <v>9</v>
      </c>
      <c r="I206" s="1">
        <v>17</v>
      </c>
      <c r="K206" s="1">
        <v>9</v>
      </c>
      <c r="L206" s="1">
        <v>30</v>
      </c>
    </row>
    <row r="207" spans="1:12" ht="15" customHeight="1" x14ac:dyDescent="0.2">
      <c r="A207" s="1">
        <v>1987</v>
      </c>
      <c r="B207" s="1">
        <v>5</v>
      </c>
      <c r="C207" s="1">
        <v>29</v>
      </c>
      <c r="E207" s="1">
        <v>5</v>
      </c>
      <c r="F207" s="1">
        <v>29</v>
      </c>
      <c r="H207" s="1">
        <v>10</v>
      </c>
      <c r="I207" s="1">
        <v>1</v>
      </c>
      <c r="K207" s="1">
        <v>10</v>
      </c>
      <c r="L207" s="1">
        <v>19</v>
      </c>
    </row>
    <row r="208" spans="1:12" ht="15" customHeight="1" x14ac:dyDescent="0.2">
      <c r="A208" s="1">
        <v>1988</v>
      </c>
      <c r="B208" s="1">
        <v>5</v>
      </c>
      <c r="C208" s="1">
        <v>31</v>
      </c>
      <c r="E208" s="1">
        <v>6</v>
      </c>
      <c r="F208" s="1">
        <v>12</v>
      </c>
      <c r="H208" s="1">
        <v>9</v>
      </c>
      <c r="I208" s="1">
        <v>23</v>
      </c>
      <c r="K208" s="1">
        <v>9</v>
      </c>
      <c r="L208" s="1">
        <v>24</v>
      </c>
    </row>
    <row r="209" spans="1:12" ht="15" customHeight="1" x14ac:dyDescent="0.2">
      <c r="A209" s="1">
        <v>1989</v>
      </c>
      <c r="B209" s="1">
        <v>5</v>
      </c>
      <c r="C209" s="1">
        <v>14</v>
      </c>
      <c r="E209" s="1">
        <v>5</v>
      </c>
      <c r="F209" s="1">
        <v>31</v>
      </c>
      <c r="H209" s="1">
        <v>9</v>
      </c>
      <c r="I209" s="1">
        <v>11</v>
      </c>
      <c r="K209" s="1">
        <v>10</v>
      </c>
      <c r="L209" s="1">
        <v>17</v>
      </c>
    </row>
    <row r="210" spans="1:12" ht="15" customHeight="1" x14ac:dyDescent="0.2">
      <c r="A210" s="1">
        <v>1990</v>
      </c>
      <c r="B210" s="1">
        <v>5</v>
      </c>
      <c r="C210" s="1">
        <v>29</v>
      </c>
      <c r="E210" s="1">
        <v>5</v>
      </c>
      <c r="F210" s="1">
        <v>30</v>
      </c>
      <c r="H210" s="1">
        <v>10</v>
      </c>
      <c r="I210" s="1">
        <v>9</v>
      </c>
      <c r="K210" s="1">
        <v>10</v>
      </c>
      <c r="L210" s="1">
        <v>9</v>
      </c>
    </row>
    <row r="211" spans="1:12" ht="15" customHeight="1" x14ac:dyDescent="0.2">
      <c r="A211" s="1">
        <v>1991</v>
      </c>
      <c r="B211" s="1">
        <v>5</v>
      </c>
      <c r="C211" s="1">
        <v>30</v>
      </c>
      <c r="E211" s="1">
        <v>6</v>
      </c>
      <c r="F211" s="1">
        <v>24</v>
      </c>
      <c r="H211" s="1">
        <v>10</v>
      </c>
      <c r="I211" s="1">
        <v>4</v>
      </c>
      <c r="K211" s="1">
        <v>10</v>
      </c>
      <c r="L211" s="1">
        <v>15</v>
      </c>
    </row>
    <row r="212" spans="1:12" ht="15" customHeight="1" x14ac:dyDescent="0.2">
      <c r="A212" s="1">
        <v>1992</v>
      </c>
      <c r="B212" s="1">
        <v>6</v>
      </c>
      <c r="C212" s="1">
        <v>17</v>
      </c>
      <c r="E212" s="1">
        <v>6</v>
      </c>
      <c r="F212" s="1">
        <v>17</v>
      </c>
      <c r="H212" s="1">
        <v>9</v>
      </c>
      <c r="I212" s="1">
        <v>30</v>
      </c>
      <c r="K212" s="1">
        <v>10</v>
      </c>
      <c r="L212" s="1">
        <v>2</v>
      </c>
    </row>
    <row r="213" spans="1:12" ht="15" customHeight="1" x14ac:dyDescent="0.2">
      <c r="A213" s="1">
        <v>1993</v>
      </c>
      <c r="B213" s="1">
        <v>6</v>
      </c>
      <c r="C213" s="1">
        <v>8</v>
      </c>
      <c r="E213" s="1">
        <v>6</v>
      </c>
      <c r="F213" s="1">
        <v>10</v>
      </c>
      <c r="H213" s="1">
        <v>9</v>
      </c>
      <c r="I213" s="1">
        <v>21</v>
      </c>
      <c r="K213" s="1">
        <v>9</v>
      </c>
      <c r="L213" s="1">
        <v>21</v>
      </c>
    </row>
    <row r="214" spans="1:12" ht="15" customHeight="1" x14ac:dyDescent="0.2">
      <c r="A214" s="1">
        <v>1994</v>
      </c>
      <c r="B214" s="1">
        <v>6</v>
      </c>
      <c r="C214" s="1">
        <v>8</v>
      </c>
      <c r="E214" s="1">
        <v>6</v>
      </c>
      <c r="F214" s="1">
        <v>17</v>
      </c>
      <c r="H214" s="1">
        <v>9</v>
      </c>
      <c r="I214" s="1">
        <v>23</v>
      </c>
      <c r="K214" s="1">
        <v>9</v>
      </c>
      <c r="L214" s="1">
        <v>27</v>
      </c>
    </row>
    <row r="215" spans="1:12" ht="15" customHeight="1" x14ac:dyDescent="0.2">
      <c r="A215" s="1">
        <v>1995</v>
      </c>
      <c r="B215" s="1">
        <v>5</v>
      </c>
      <c r="C215" s="1">
        <v>26</v>
      </c>
      <c r="E215" s="1">
        <v>5</v>
      </c>
      <c r="F215" s="1">
        <v>31</v>
      </c>
      <c r="H215" s="1">
        <v>10</v>
      </c>
      <c r="I215" s="1">
        <v>3</v>
      </c>
      <c r="K215" s="1">
        <v>10</v>
      </c>
      <c r="L215" s="1">
        <v>4</v>
      </c>
    </row>
    <row r="216" spans="1:12" ht="15" customHeight="1" x14ac:dyDescent="0.2">
      <c r="A216" s="1">
        <v>1996</v>
      </c>
      <c r="B216" s="1">
        <v>5</v>
      </c>
      <c r="C216" s="1">
        <v>28</v>
      </c>
      <c r="E216" s="1">
        <v>5</v>
      </c>
      <c r="F216" s="1">
        <v>28</v>
      </c>
      <c r="H216" s="1">
        <v>9</v>
      </c>
      <c r="I216" s="1">
        <v>30</v>
      </c>
      <c r="K216" s="1">
        <v>10</v>
      </c>
      <c r="L216" s="1">
        <v>18</v>
      </c>
    </row>
    <row r="217" spans="1:12" ht="15" customHeight="1" x14ac:dyDescent="0.2">
      <c r="A217" s="1">
        <v>1997</v>
      </c>
      <c r="B217" s="1">
        <v>5</v>
      </c>
      <c r="C217" s="1">
        <v>5</v>
      </c>
      <c r="E217" s="1">
        <v>5</v>
      </c>
      <c r="F217" s="1">
        <v>27</v>
      </c>
      <c r="H217" s="1">
        <v>10</v>
      </c>
      <c r="I217" s="1">
        <v>9</v>
      </c>
      <c r="K217" s="1">
        <v>10</v>
      </c>
      <c r="L217" s="1">
        <v>14</v>
      </c>
    </row>
    <row r="218" spans="1:12" ht="15" customHeight="1" x14ac:dyDescent="0.2">
      <c r="A218" s="1">
        <v>1998</v>
      </c>
      <c r="B218" s="1">
        <v>5</v>
      </c>
      <c r="C218" s="1">
        <v>26</v>
      </c>
      <c r="E218" s="1">
        <v>6</v>
      </c>
      <c r="F218" s="1">
        <v>15</v>
      </c>
      <c r="H218" s="1">
        <v>9</v>
      </c>
      <c r="I218" s="1">
        <v>30</v>
      </c>
      <c r="K218" s="1">
        <v>10</v>
      </c>
      <c r="L218" s="1">
        <v>10</v>
      </c>
    </row>
    <row r="219" spans="1:12" ht="15" customHeight="1" x14ac:dyDescent="0.2">
      <c r="A219" s="1">
        <v>1999</v>
      </c>
      <c r="B219" s="1">
        <v>6</v>
      </c>
      <c r="C219" s="1">
        <v>3</v>
      </c>
      <c r="E219" s="1">
        <v>6</v>
      </c>
      <c r="F219" s="1">
        <v>3</v>
      </c>
      <c r="H219" s="1">
        <v>9</v>
      </c>
      <c r="I219" s="1">
        <v>29</v>
      </c>
      <c r="K219" s="1">
        <v>10</v>
      </c>
      <c r="L219" s="1">
        <v>9</v>
      </c>
    </row>
    <row r="220" spans="1:12" ht="15" customHeight="1" x14ac:dyDescent="0.2">
      <c r="A220" s="1">
        <v>2000</v>
      </c>
      <c r="B220" s="1">
        <v>4</v>
      </c>
      <c r="C220" s="1">
        <v>20</v>
      </c>
      <c r="E220" s="1">
        <v>5</v>
      </c>
      <c r="F220" s="1">
        <v>19</v>
      </c>
      <c r="H220" s="1">
        <v>9</v>
      </c>
      <c r="I220" s="1">
        <v>25</v>
      </c>
      <c r="K220" s="1">
        <v>11</v>
      </c>
      <c r="L220" s="1">
        <v>1</v>
      </c>
    </row>
    <row r="221" spans="1:12" ht="15" customHeight="1" x14ac:dyDescent="0.2">
      <c r="A221" s="1">
        <v>2001</v>
      </c>
      <c r="B221" s="1">
        <v>5</v>
      </c>
      <c r="C221" s="1">
        <v>7</v>
      </c>
      <c r="E221" s="1">
        <v>6</v>
      </c>
      <c r="F221" s="1">
        <v>15</v>
      </c>
      <c r="H221" s="1">
        <v>9</v>
      </c>
      <c r="I221" s="1">
        <v>29</v>
      </c>
      <c r="K221" s="1">
        <v>10</v>
      </c>
      <c r="L221" s="1">
        <v>9</v>
      </c>
    </row>
    <row r="222" spans="1:12" ht="15" customHeight="1" x14ac:dyDescent="0.2">
      <c r="A222" s="1">
        <v>2002</v>
      </c>
      <c r="B222" s="1">
        <v>5</v>
      </c>
      <c r="C222" s="1">
        <v>23</v>
      </c>
      <c r="E222" s="1">
        <v>5</v>
      </c>
      <c r="F222" s="1">
        <v>28</v>
      </c>
      <c r="H222" s="1">
        <v>10</v>
      </c>
      <c r="I222" s="1">
        <v>4</v>
      </c>
      <c r="K222" s="1">
        <v>10</v>
      </c>
      <c r="L222" s="1">
        <v>4</v>
      </c>
    </row>
    <row r="223" spans="1:12" ht="15" customHeight="1" x14ac:dyDescent="0.2">
      <c r="A223" s="1">
        <v>2003</v>
      </c>
      <c r="B223" s="1">
        <v>5</v>
      </c>
      <c r="C223" s="1">
        <v>12</v>
      </c>
      <c r="E223" s="1">
        <v>5</v>
      </c>
      <c r="F223" s="1">
        <v>12</v>
      </c>
      <c r="H223" s="1">
        <v>10</v>
      </c>
      <c r="I223" s="1">
        <v>19</v>
      </c>
      <c r="K223" s="1">
        <v>10</v>
      </c>
      <c r="L223" s="1">
        <v>27</v>
      </c>
    </row>
    <row r="224" spans="1:12" ht="15" customHeight="1" x14ac:dyDescent="0.2">
      <c r="A224" s="1">
        <v>2004</v>
      </c>
      <c r="B224" s="1">
        <v>6</v>
      </c>
      <c r="C224" s="1">
        <v>11</v>
      </c>
      <c r="E224" s="1">
        <v>6</v>
      </c>
      <c r="F224" s="1">
        <v>12</v>
      </c>
      <c r="H224" s="1">
        <v>9</v>
      </c>
      <c r="I224" s="1">
        <v>28</v>
      </c>
      <c r="K224" s="1">
        <v>10</v>
      </c>
      <c r="L224" s="1">
        <v>8</v>
      </c>
    </row>
    <row r="225" spans="1:14" ht="15" customHeight="1" x14ac:dyDescent="0.2">
      <c r="A225" s="1">
        <v>2005</v>
      </c>
      <c r="B225" s="1">
        <v>5</v>
      </c>
      <c r="C225" s="1">
        <v>13</v>
      </c>
      <c r="E225" s="1">
        <v>5</v>
      </c>
      <c r="F225" s="1">
        <v>15</v>
      </c>
      <c r="H225" s="1">
        <v>9</v>
      </c>
      <c r="I225" s="1">
        <v>15</v>
      </c>
      <c r="K225" s="1">
        <v>10</v>
      </c>
      <c r="L225" s="1">
        <v>11</v>
      </c>
    </row>
    <row r="226" spans="1:14" ht="15" customHeight="1" x14ac:dyDescent="0.2">
      <c r="A226" s="1">
        <v>2006</v>
      </c>
      <c r="B226" s="1">
        <v>5</v>
      </c>
      <c r="C226" s="1">
        <v>17</v>
      </c>
      <c r="E226" s="1">
        <v>5</v>
      </c>
      <c r="F226" s="1">
        <v>25</v>
      </c>
      <c r="H226" s="1">
        <v>9</v>
      </c>
      <c r="I226" s="1">
        <v>16</v>
      </c>
      <c r="K226" s="1">
        <v>10</v>
      </c>
      <c r="L226" s="1">
        <v>19</v>
      </c>
    </row>
    <row r="227" spans="1:14" ht="15" customHeight="1" x14ac:dyDescent="0.2">
      <c r="A227" s="1">
        <v>2007</v>
      </c>
      <c r="B227" s="1">
        <v>5</v>
      </c>
      <c r="C227" s="1">
        <v>7</v>
      </c>
      <c r="E227" s="1">
        <v>5</v>
      </c>
      <c r="F227" s="1">
        <v>11</v>
      </c>
      <c r="H227" s="1">
        <v>10</v>
      </c>
      <c r="I227" s="1">
        <v>8</v>
      </c>
      <c r="K227" s="1">
        <v>10</v>
      </c>
      <c r="L227" s="1">
        <v>8</v>
      </c>
    </row>
    <row r="228" spans="1:14" ht="15" customHeight="1" x14ac:dyDescent="0.2">
      <c r="A228" s="1">
        <v>2008</v>
      </c>
      <c r="B228" s="1">
        <v>5</v>
      </c>
      <c r="C228" s="1">
        <v>12</v>
      </c>
      <c r="E228" s="1">
        <v>6</v>
      </c>
      <c r="F228" s="1">
        <v>4</v>
      </c>
      <c r="H228" s="1">
        <v>10</v>
      </c>
      <c r="I228" s="1">
        <v>1</v>
      </c>
      <c r="K228" s="1">
        <v>10</v>
      </c>
      <c r="L228" s="1">
        <v>13</v>
      </c>
    </row>
    <row r="229" spans="1:14" ht="15" customHeight="1" x14ac:dyDescent="0.2">
      <c r="A229" s="1">
        <v>2009</v>
      </c>
      <c r="B229" s="1">
        <v>5</v>
      </c>
      <c r="C229" s="1">
        <v>1</v>
      </c>
      <c r="E229" s="1">
        <v>5</v>
      </c>
      <c r="F229" s="1">
        <v>26</v>
      </c>
      <c r="H229" s="1">
        <v>9</v>
      </c>
      <c r="I229" s="1">
        <v>15</v>
      </c>
      <c r="K229" s="1">
        <v>9</v>
      </c>
      <c r="L229" s="1">
        <v>16</v>
      </c>
    </row>
    <row r="230" spans="1:14" ht="15" customHeight="1" x14ac:dyDescent="0.2">
      <c r="A230" s="1">
        <v>2010</v>
      </c>
      <c r="B230" s="1">
        <v>5</v>
      </c>
      <c r="C230" s="1">
        <v>21</v>
      </c>
      <c r="E230" s="1">
        <v>6</v>
      </c>
      <c r="F230" s="1">
        <v>1</v>
      </c>
      <c r="H230" s="1">
        <v>10</v>
      </c>
      <c r="I230" s="1">
        <v>14</v>
      </c>
      <c r="K230" s="1">
        <v>10</v>
      </c>
      <c r="L230" s="1">
        <v>25</v>
      </c>
    </row>
    <row r="231" spans="1:14" ht="15" customHeight="1" x14ac:dyDescent="0.2">
      <c r="A231" s="1">
        <v>2011</v>
      </c>
      <c r="B231" s="1">
        <v>5</v>
      </c>
      <c r="C231" s="1">
        <v>23</v>
      </c>
      <c r="E231" s="1">
        <v>6</v>
      </c>
      <c r="F231" s="1">
        <v>1</v>
      </c>
      <c r="H231" s="1">
        <v>10</v>
      </c>
      <c r="I231" s="1">
        <v>11</v>
      </c>
      <c r="K231" s="1">
        <v>10</v>
      </c>
      <c r="L231" s="1">
        <v>23</v>
      </c>
    </row>
    <row r="232" spans="1:14" ht="15" customHeight="1" x14ac:dyDescent="0.2">
      <c r="A232" s="1">
        <v>2012</v>
      </c>
      <c r="B232" s="1">
        <v>5</v>
      </c>
      <c r="C232" s="1">
        <v>11</v>
      </c>
      <c r="E232" s="1">
        <v>5</v>
      </c>
      <c r="F232" s="1">
        <v>20</v>
      </c>
      <c r="H232" s="1">
        <v>10</v>
      </c>
      <c r="I232" s="1">
        <v>13</v>
      </c>
      <c r="K232" s="1">
        <v>10</v>
      </c>
      <c r="L232" s="1">
        <v>13</v>
      </c>
    </row>
    <row r="233" spans="1:14" ht="15" customHeight="1" x14ac:dyDescent="0.2">
      <c r="A233" s="1">
        <v>2013</v>
      </c>
      <c r="B233" s="1">
        <v>5</v>
      </c>
      <c r="C233" s="1">
        <v>5</v>
      </c>
      <c r="E233" s="1">
        <v>5</v>
      </c>
      <c r="F233" s="1">
        <v>9</v>
      </c>
      <c r="H233" s="1">
        <v>9</v>
      </c>
      <c r="I233" s="1">
        <v>30</v>
      </c>
      <c r="K233" s="1">
        <v>9</v>
      </c>
      <c r="L233" s="1">
        <v>30</v>
      </c>
    </row>
    <row r="234" spans="1:14" ht="15" customHeight="1" x14ac:dyDescent="0.2">
      <c r="A234" s="1">
        <v>2014</v>
      </c>
      <c r="B234" s="1">
        <v>4</v>
      </c>
      <c r="C234" s="1">
        <v>17</v>
      </c>
      <c r="E234" s="1">
        <v>4</v>
      </c>
      <c r="F234" s="1">
        <v>28</v>
      </c>
      <c r="H234" s="1">
        <v>10</v>
      </c>
      <c r="I234" s="1">
        <v>14</v>
      </c>
      <c r="K234" s="1">
        <v>10</v>
      </c>
      <c r="L234" s="1">
        <v>14</v>
      </c>
    </row>
    <row r="235" spans="1:14" ht="15" customHeight="1" x14ac:dyDescent="0.2">
      <c r="A235" s="1">
        <v>2015</v>
      </c>
      <c r="B235" s="1">
        <v>5</v>
      </c>
      <c r="C235" s="1">
        <v>11</v>
      </c>
      <c r="E235" s="1">
        <v>5</v>
      </c>
      <c r="F235" s="1">
        <v>20</v>
      </c>
      <c r="H235" s="1">
        <v>10</v>
      </c>
      <c r="I235" s="1">
        <v>28</v>
      </c>
      <c r="K235" s="1">
        <v>11</v>
      </c>
      <c r="L235" s="1">
        <v>2</v>
      </c>
    </row>
    <row r="236" spans="1:14" ht="15" customHeight="1" x14ac:dyDescent="0.2">
      <c r="A236" s="1">
        <v>2016</v>
      </c>
      <c r="B236" s="1">
        <v>5</v>
      </c>
      <c r="C236" s="1">
        <v>3</v>
      </c>
      <c r="E236" s="1">
        <v>6</v>
      </c>
      <c r="F236" s="1">
        <v>7</v>
      </c>
      <c r="H236" s="1">
        <v>10</v>
      </c>
      <c r="I236" s="1">
        <v>20</v>
      </c>
      <c r="K236" s="1">
        <v>10</v>
      </c>
      <c r="L236" s="1">
        <v>29</v>
      </c>
      <c r="N236" s="10"/>
    </row>
    <row r="237" spans="1:14" ht="15" customHeight="1" x14ac:dyDescent="0.2">
      <c r="A237" s="1">
        <v>2017</v>
      </c>
      <c r="B237" s="1">
        <v>3</v>
      </c>
      <c r="C237" s="1">
        <v>30</v>
      </c>
      <c r="E237" s="1">
        <v>6</v>
      </c>
      <c r="F237" s="1">
        <v>16</v>
      </c>
      <c r="H237" s="1">
        <v>10</v>
      </c>
      <c r="I237" s="1">
        <v>12</v>
      </c>
      <c r="K237" s="1">
        <v>10</v>
      </c>
      <c r="L237" s="1">
        <v>31</v>
      </c>
      <c r="N237" s="10"/>
    </row>
    <row r="238" spans="1:14" ht="15" customHeight="1" x14ac:dyDescent="0.2">
      <c r="A238" s="1">
        <v>2018</v>
      </c>
      <c r="B238" s="1">
        <v>5</v>
      </c>
      <c r="C238" s="1">
        <v>3</v>
      </c>
      <c r="E238" s="1">
        <v>5</v>
      </c>
      <c r="F238" s="1">
        <v>3</v>
      </c>
      <c r="H238" s="1">
        <v>11</v>
      </c>
      <c r="I238" s="1">
        <v>1</v>
      </c>
      <c r="K238" s="1">
        <v>11</v>
      </c>
      <c r="L238" s="1">
        <v>1</v>
      </c>
      <c r="N238" s="10"/>
    </row>
    <row r="239" spans="1:14" ht="15" customHeight="1" x14ac:dyDescent="0.2">
      <c r="A239" s="1">
        <v>2019</v>
      </c>
      <c r="B239" s="1">
        <v>3</v>
      </c>
      <c r="C239" s="1">
        <v>22</v>
      </c>
      <c r="E239" s="1">
        <v>3</v>
      </c>
      <c r="F239" s="1">
        <v>22</v>
      </c>
      <c r="H239" s="1">
        <v>10</v>
      </c>
      <c r="I239" s="1">
        <v>11</v>
      </c>
      <c r="K239" s="1">
        <v>10</v>
      </c>
      <c r="L239" s="1">
        <v>11</v>
      </c>
    </row>
    <row r="240" spans="1:14" ht="15" customHeight="1" x14ac:dyDescent="0.2">
      <c r="A240" s="1">
        <v>2020</v>
      </c>
      <c r="B240" s="1">
        <v>5</v>
      </c>
      <c r="C240" s="1">
        <v>22</v>
      </c>
      <c r="E240" s="1">
        <v>5</v>
      </c>
      <c r="F240" s="1">
        <v>27</v>
      </c>
      <c r="H240" s="1">
        <v>11</v>
      </c>
      <c r="I240" s="1">
        <v>4</v>
      </c>
      <c r="K240" s="1">
        <v>11</v>
      </c>
      <c r="L240" s="1">
        <v>4</v>
      </c>
    </row>
    <row r="241" spans="1:12" ht="15" customHeight="1" x14ac:dyDescent="0.2">
      <c r="A241" s="1">
        <v>2021</v>
      </c>
      <c r="B241" s="1">
        <v>5</v>
      </c>
      <c r="C241" s="1">
        <v>24</v>
      </c>
      <c r="E241" s="1">
        <v>5</v>
      </c>
      <c r="F241" s="1">
        <v>24</v>
      </c>
      <c r="H241" s="1">
        <v>10</v>
      </c>
      <c r="I241" s="1">
        <v>11</v>
      </c>
      <c r="K241" s="1">
        <v>10</v>
      </c>
      <c r="L241" s="1">
        <v>11</v>
      </c>
    </row>
    <row r="242" spans="1:12" ht="15" customHeight="1" x14ac:dyDescent="0.2">
      <c r="A242" s="1">
        <v>2022</v>
      </c>
      <c r="B242" s="1">
        <v>5</v>
      </c>
      <c r="C242" s="1">
        <v>13</v>
      </c>
      <c r="E242" s="1">
        <v>5</v>
      </c>
      <c r="F242" s="1">
        <v>14</v>
      </c>
      <c r="H242" s="1">
        <v>10</v>
      </c>
      <c r="I242" s="1">
        <v>19</v>
      </c>
      <c r="K242" s="1">
        <v>10</v>
      </c>
      <c r="L242" s="1">
        <v>24</v>
      </c>
    </row>
    <row r="243" spans="1:12" ht="15" customHeight="1" x14ac:dyDescent="0.2">
      <c r="A243" s="1">
        <v>2023</v>
      </c>
      <c r="B243" s="1">
        <v>4</v>
      </c>
      <c r="C243" s="1">
        <v>4</v>
      </c>
      <c r="E243" s="1">
        <v>4</v>
      </c>
      <c r="F243" s="1">
        <v>4</v>
      </c>
      <c r="H243" s="1">
        <v>10</v>
      </c>
      <c r="I243" s="1">
        <v>12</v>
      </c>
      <c r="K243" s="1">
        <v>10</v>
      </c>
      <c r="L243" s="1">
        <v>29</v>
      </c>
    </row>
    <row r="244" spans="1:12" ht="15" customHeight="1" x14ac:dyDescent="0.2">
      <c r="A244" s="1">
        <v>2024</v>
      </c>
      <c r="B244" s="1">
        <v>5</v>
      </c>
      <c r="C244" s="1">
        <v>7</v>
      </c>
      <c r="E244" s="1">
        <v>5</v>
      </c>
      <c r="F244" s="1">
        <v>24</v>
      </c>
      <c r="H244" s="1">
        <v>10</v>
      </c>
      <c r="I244" s="1">
        <v>19</v>
      </c>
      <c r="K244" s="1">
        <v>10</v>
      </c>
      <c r="L244" s="1">
        <v>20</v>
      </c>
    </row>
  </sheetData>
  <sheetProtection algorithmName="SHA-512" hashValue="upJRw+Xkb5G8eCOhwhF0cXG8HBt1Lw4QQHL0DequQR+sqIj4+ykNdT8npZHGhof9zYp9dfprCJ/2zOmIyhrjkw==" saltValue="7d81JzGLpgc/23IhJTgSkg==" spinCount="100000" sheet="1" objects="1" scenarios="1"/>
  <phoneticPr fontId="0" type="noConversion"/>
  <hyperlinks>
    <hyperlink ref="B180" r:id="rId1" display="https://wrcc.dri.edu/cgi-bin/rawMAIN.pl?nmXSLA" xr:uid="{00000000-0004-0000-0200-000000000000}"/>
  </hyperlinks>
  <printOptions horizontalCentered="1" gridLines="1"/>
  <pageMargins left="0.75" right="0.75" top="1" bottom="0.5" header="0.5" footer="0.5"/>
  <pageSetup scale="95" fitToHeight="4" orientation="portrait" r:id="rId2"/>
  <headerFooter alignWithMargins="0">
    <oddFooter>&amp;R&amp;9reserve</oddFooter>
  </headerFooter>
  <rowBreaks count="3" manualBreakCount="3">
    <brk id="59" max="12" man="1"/>
    <brk id="118" max="12" man="1"/>
    <brk id="184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76"/>
  <sheetViews>
    <sheetView zoomScaleNormal="100" workbookViewId="0">
      <selection sqref="A1:XFD1"/>
    </sheetView>
  </sheetViews>
  <sheetFormatPr defaultColWidth="8.88671875" defaultRowHeight="15" customHeight="1" x14ac:dyDescent="0.2"/>
  <cols>
    <col min="1" max="13" width="6" style="1" customWidth="1"/>
    <col min="14" max="16384" width="8.88671875" style="1"/>
  </cols>
  <sheetData>
    <row r="1" spans="1:13" ht="15" customHeight="1" x14ac:dyDescent="0.2">
      <c r="A1" s="2" t="s">
        <v>5</v>
      </c>
      <c r="B1" s="2"/>
      <c r="C1" s="2"/>
      <c r="D1" s="2"/>
      <c r="E1" s="2" t="s">
        <v>1</v>
      </c>
      <c r="F1" s="2"/>
      <c r="G1" s="2"/>
      <c r="H1" s="2"/>
      <c r="I1" s="2"/>
      <c r="J1" s="13"/>
      <c r="K1" s="2"/>
      <c r="L1" s="2"/>
      <c r="M1" s="2"/>
    </row>
    <row r="2" spans="1:13" ht="15" customHeight="1" x14ac:dyDescent="0.2">
      <c r="A2" s="2"/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</row>
    <row r="3" spans="1:13" ht="15" customHeight="1" x14ac:dyDescent="0.2">
      <c r="A3" s="1">
        <v>1968</v>
      </c>
      <c r="B3" s="4">
        <v>1.1000000000000001</v>
      </c>
      <c r="C3" s="4">
        <v>0.77</v>
      </c>
      <c r="D3" s="4">
        <v>0.97</v>
      </c>
      <c r="E3" s="4">
        <v>0.2</v>
      </c>
      <c r="F3" s="4">
        <v>0.15</v>
      </c>
      <c r="G3" s="4">
        <v>0</v>
      </c>
      <c r="H3" s="4">
        <v>2.5499999999999998</v>
      </c>
      <c r="I3" s="4">
        <v>2.2799999999999998</v>
      </c>
      <c r="J3" s="4">
        <v>0.12</v>
      </c>
      <c r="K3" s="4">
        <v>0</v>
      </c>
      <c r="L3" s="4">
        <v>0.68</v>
      </c>
      <c r="M3" s="4">
        <v>1.82</v>
      </c>
    </row>
    <row r="4" spans="1:13" ht="15" customHeight="1" x14ac:dyDescent="0.2">
      <c r="A4" s="1">
        <v>1969</v>
      </c>
      <c r="B4" s="4">
        <v>1.07</v>
      </c>
      <c r="C4" s="4">
        <v>0.25</v>
      </c>
      <c r="D4" s="4">
        <v>0.49</v>
      </c>
      <c r="E4" s="4">
        <v>0.06</v>
      </c>
      <c r="F4" s="4">
        <v>0.87</v>
      </c>
      <c r="G4" s="4">
        <v>0.04</v>
      </c>
      <c r="H4" s="4">
        <v>2.02</v>
      </c>
      <c r="I4" s="4">
        <v>2.5499999999999998</v>
      </c>
      <c r="J4" s="4">
        <v>2.02</v>
      </c>
      <c r="K4" s="4">
        <v>1.59</v>
      </c>
      <c r="L4" s="4">
        <v>0.78</v>
      </c>
      <c r="M4" s="4">
        <v>1.34</v>
      </c>
    </row>
    <row r="5" spans="1:13" ht="15" customHeight="1" x14ac:dyDescent="0.2">
      <c r="A5" s="1">
        <v>1970</v>
      </c>
      <c r="B5" s="4">
        <v>0.04</v>
      </c>
      <c r="C5" s="4">
        <v>0.91</v>
      </c>
      <c r="D5" s="4">
        <v>1.51</v>
      </c>
      <c r="E5" s="4">
        <v>0.24</v>
      </c>
      <c r="F5" s="4">
        <v>0.09</v>
      </c>
      <c r="G5" s="4">
        <v>0.84</v>
      </c>
      <c r="H5" s="4">
        <v>1.87</v>
      </c>
      <c r="I5" s="4">
        <v>1.84</v>
      </c>
      <c r="J5" s="4">
        <v>0.59</v>
      </c>
      <c r="K5" s="4">
        <v>2.4900000000000002</v>
      </c>
      <c r="L5" s="4">
        <v>0</v>
      </c>
      <c r="M5" s="4">
        <v>0.44</v>
      </c>
    </row>
    <row r="6" spans="1:13" ht="15" customHeight="1" x14ac:dyDescent="0.2">
      <c r="A6" s="1">
        <v>1971</v>
      </c>
      <c r="B6" s="4">
        <v>0.13</v>
      </c>
      <c r="C6" s="4">
        <v>0.24</v>
      </c>
      <c r="D6" s="4">
        <v>0.02</v>
      </c>
      <c r="E6" s="4">
        <v>0.34</v>
      </c>
      <c r="F6" s="4">
        <v>0</v>
      </c>
      <c r="G6" s="4">
        <v>0.38</v>
      </c>
      <c r="H6" s="4">
        <v>3.82</v>
      </c>
      <c r="I6" s="4">
        <v>1.45</v>
      </c>
      <c r="J6" s="4">
        <v>2.13</v>
      </c>
      <c r="K6" s="4">
        <v>3.95</v>
      </c>
      <c r="L6" s="4">
        <v>0.67</v>
      </c>
      <c r="M6" s="4">
        <v>2.16</v>
      </c>
    </row>
    <row r="7" spans="1:13" ht="15" customHeight="1" x14ac:dyDescent="0.2">
      <c r="A7" s="1">
        <v>1972</v>
      </c>
      <c r="B7" s="4">
        <v>0.02</v>
      </c>
      <c r="C7" s="4">
        <v>0</v>
      </c>
      <c r="D7" s="4">
        <v>0.09</v>
      </c>
      <c r="E7" s="4">
        <v>0</v>
      </c>
      <c r="F7" s="4">
        <v>0.11</v>
      </c>
      <c r="G7" s="4">
        <v>1.39</v>
      </c>
      <c r="H7" s="4">
        <v>3.24</v>
      </c>
      <c r="I7" s="4">
        <v>4.45</v>
      </c>
      <c r="J7" s="4">
        <v>2.5499999999999998</v>
      </c>
      <c r="K7" s="4">
        <v>6.58</v>
      </c>
      <c r="L7" s="4">
        <v>0.28999999999999998</v>
      </c>
      <c r="M7" s="4">
        <v>1.34</v>
      </c>
    </row>
    <row r="8" spans="1:13" ht="15" customHeight="1" x14ac:dyDescent="0.2">
      <c r="A8" s="1">
        <v>1973</v>
      </c>
      <c r="B8" s="4">
        <v>0.97</v>
      </c>
      <c r="C8" s="4">
        <v>3.4</v>
      </c>
      <c r="D8" s="4">
        <v>1.97</v>
      </c>
      <c r="E8" s="4">
        <v>0.24</v>
      </c>
      <c r="F8" s="4">
        <v>1.63</v>
      </c>
      <c r="G8" s="4">
        <v>1.18</v>
      </c>
      <c r="H8" s="4">
        <v>3.27</v>
      </c>
      <c r="I8" s="4">
        <v>1.2</v>
      </c>
      <c r="J8" s="4">
        <v>0.52</v>
      </c>
      <c r="K8" s="4">
        <v>0.14000000000000001</v>
      </c>
      <c r="L8" s="4">
        <v>0.28000000000000003</v>
      </c>
      <c r="M8" s="4">
        <v>0</v>
      </c>
    </row>
    <row r="9" spans="1:13" ht="15" customHeight="1" x14ac:dyDescent="0.2">
      <c r="A9" s="1">
        <v>1974</v>
      </c>
      <c r="B9" s="4">
        <v>1.29</v>
      </c>
      <c r="C9" s="4">
        <v>0.16</v>
      </c>
      <c r="D9" s="4">
        <v>0.94</v>
      </c>
      <c r="E9" s="4">
        <v>0.57999999999999996</v>
      </c>
      <c r="F9" s="4">
        <v>0.16</v>
      </c>
      <c r="G9" s="4">
        <v>0.04</v>
      </c>
      <c r="H9" s="4">
        <v>2.54</v>
      </c>
      <c r="I9" s="4">
        <v>1.95</v>
      </c>
      <c r="J9" s="4">
        <v>1.45</v>
      </c>
      <c r="K9" s="4">
        <v>3.02</v>
      </c>
      <c r="L9" s="4">
        <v>1.04</v>
      </c>
      <c r="M9" s="4">
        <v>1.34</v>
      </c>
    </row>
    <row r="10" spans="1:13" ht="15" customHeight="1" x14ac:dyDescent="0.2">
      <c r="A10" s="1">
        <v>1975</v>
      </c>
      <c r="B10" s="4">
        <v>1.46</v>
      </c>
      <c r="C10" s="4">
        <v>0.26</v>
      </c>
      <c r="D10" s="4">
        <v>1.47</v>
      </c>
      <c r="E10" s="4">
        <v>0.28999999999999998</v>
      </c>
      <c r="F10" s="4">
        <v>0.19</v>
      </c>
      <c r="G10" s="4">
        <v>0</v>
      </c>
      <c r="H10" s="4">
        <v>2.75</v>
      </c>
      <c r="I10" s="4">
        <v>0.67</v>
      </c>
      <c r="J10" s="4">
        <v>4.0999999999999996</v>
      </c>
      <c r="K10" s="4">
        <v>0.5</v>
      </c>
      <c r="L10" s="4">
        <v>0.95</v>
      </c>
      <c r="M10" s="4">
        <v>1.46</v>
      </c>
    </row>
    <row r="11" spans="1:13" ht="12.75" x14ac:dyDescent="0.2">
      <c r="A11" s="1">
        <v>1976</v>
      </c>
      <c r="B11" s="4">
        <v>0.17</v>
      </c>
      <c r="C11" s="4">
        <v>2.12</v>
      </c>
      <c r="D11" s="4">
        <v>0.56999999999999995</v>
      </c>
      <c r="E11" s="4">
        <v>0.51</v>
      </c>
      <c r="F11" s="4">
        <v>0.94</v>
      </c>
      <c r="G11" s="4">
        <v>0.25</v>
      </c>
      <c r="H11" s="4">
        <v>2.17</v>
      </c>
      <c r="I11" s="4">
        <v>0.85</v>
      </c>
      <c r="J11" s="4">
        <v>1.43</v>
      </c>
      <c r="K11" s="4">
        <v>1.78</v>
      </c>
      <c r="L11" s="4">
        <v>0.59</v>
      </c>
      <c r="M11" s="4">
        <v>0.02</v>
      </c>
    </row>
    <row r="12" spans="1:13" ht="12.75" x14ac:dyDescent="0.2">
      <c r="A12" s="1">
        <v>1977</v>
      </c>
      <c r="B12" s="4">
        <v>1.2</v>
      </c>
      <c r="C12" s="4">
        <v>0.15</v>
      </c>
      <c r="D12" s="4">
        <v>1.43</v>
      </c>
      <c r="E12" s="4">
        <v>0.53</v>
      </c>
      <c r="F12" s="4">
        <v>0</v>
      </c>
      <c r="G12" s="4">
        <v>1.25</v>
      </c>
      <c r="H12" s="4">
        <v>1.77</v>
      </c>
      <c r="I12" s="4">
        <v>1.84</v>
      </c>
      <c r="J12" s="4">
        <v>1.04</v>
      </c>
      <c r="K12" s="4">
        <v>1.78</v>
      </c>
      <c r="L12" s="4">
        <v>0.03</v>
      </c>
      <c r="M12" s="4">
        <v>0.57999999999999996</v>
      </c>
    </row>
    <row r="13" spans="1:13" ht="12.75" x14ac:dyDescent="0.2">
      <c r="A13" s="1">
        <v>1978</v>
      </c>
      <c r="B13" s="4">
        <v>2.4500000000000002</v>
      </c>
      <c r="C13" s="4">
        <v>1.78</v>
      </c>
      <c r="D13" s="4">
        <v>2.57</v>
      </c>
      <c r="E13" s="4">
        <v>0.03</v>
      </c>
      <c r="F13" s="4">
        <v>0.53</v>
      </c>
      <c r="G13" s="4">
        <v>1.37</v>
      </c>
      <c r="H13" s="4">
        <v>2.4300000000000002</v>
      </c>
      <c r="I13" s="4">
        <v>2.75</v>
      </c>
      <c r="J13" s="4">
        <v>0.9</v>
      </c>
      <c r="K13" s="4">
        <v>2.31</v>
      </c>
      <c r="L13" s="4">
        <v>3.07</v>
      </c>
      <c r="M13" s="4">
        <v>3.83</v>
      </c>
    </row>
    <row r="14" spans="1:13" ht="12.75" x14ac:dyDescent="0.2">
      <c r="A14" s="1">
        <v>1979</v>
      </c>
      <c r="B14" s="4">
        <v>3.6</v>
      </c>
      <c r="C14" s="4">
        <v>1.01</v>
      </c>
      <c r="D14" s="4">
        <v>0.64</v>
      </c>
      <c r="E14" s="4">
        <v>0.48</v>
      </c>
      <c r="F14" s="4">
        <v>1.77</v>
      </c>
      <c r="G14" s="4">
        <v>1.51</v>
      </c>
      <c r="H14" s="4">
        <v>2.19</v>
      </c>
      <c r="I14" s="4">
        <v>2.33</v>
      </c>
      <c r="J14" s="4">
        <v>0.81</v>
      </c>
      <c r="K14" s="4">
        <v>0.4</v>
      </c>
      <c r="L14" s="4">
        <v>0.8</v>
      </c>
      <c r="M14" s="4">
        <v>1.59</v>
      </c>
    </row>
    <row r="15" spans="1:13" ht="12.75" x14ac:dyDescent="0.2">
      <c r="A15" s="1">
        <v>1980</v>
      </c>
      <c r="B15" s="4">
        <v>2.23</v>
      </c>
      <c r="C15" s="4">
        <v>3.45</v>
      </c>
      <c r="D15" s="4">
        <v>1.39</v>
      </c>
      <c r="E15" s="4">
        <v>0.16</v>
      </c>
      <c r="F15" s="4">
        <v>0.37</v>
      </c>
      <c r="G15" s="4">
        <v>0.05</v>
      </c>
      <c r="H15" s="4">
        <v>1.24</v>
      </c>
      <c r="I15" s="4">
        <v>1.39</v>
      </c>
      <c r="J15" s="4">
        <v>2.57</v>
      </c>
      <c r="K15" s="4">
        <v>0.36</v>
      </c>
      <c r="L15" s="4">
        <v>0.32</v>
      </c>
      <c r="M15" s="4">
        <v>0.26</v>
      </c>
    </row>
    <row r="16" spans="1:13" ht="12.75" x14ac:dyDescent="0.2">
      <c r="A16" s="1">
        <v>1981</v>
      </c>
      <c r="B16" s="4">
        <v>0.84</v>
      </c>
      <c r="C16" s="4">
        <v>0.84</v>
      </c>
      <c r="D16" s="4">
        <v>2.21</v>
      </c>
      <c r="E16" s="4">
        <v>0.48</v>
      </c>
      <c r="F16" s="4">
        <v>2.84</v>
      </c>
      <c r="G16" s="4">
        <v>0.46</v>
      </c>
      <c r="H16" s="4">
        <v>3.55</v>
      </c>
      <c r="I16" s="4">
        <v>1.84</v>
      </c>
      <c r="J16" s="4">
        <v>2.11</v>
      </c>
      <c r="K16" s="4">
        <v>0.72</v>
      </c>
      <c r="L16" s="4">
        <v>0.47</v>
      </c>
      <c r="M16" s="4">
        <v>0</v>
      </c>
    </row>
    <row r="17" spans="1:13" ht="12.75" x14ac:dyDescent="0.2">
      <c r="A17" s="1">
        <v>1982</v>
      </c>
      <c r="B17" s="4">
        <v>1.4</v>
      </c>
      <c r="C17" s="4">
        <v>1.96</v>
      </c>
      <c r="D17" s="4">
        <v>1.63</v>
      </c>
      <c r="E17" s="4">
        <v>0.28000000000000003</v>
      </c>
      <c r="F17" s="4">
        <v>1.33</v>
      </c>
      <c r="G17" s="4">
        <v>0.06</v>
      </c>
      <c r="H17" s="4">
        <v>1.22</v>
      </c>
      <c r="I17" s="4">
        <v>2.17</v>
      </c>
      <c r="J17" s="4">
        <v>2.5499999999999998</v>
      </c>
      <c r="K17" s="4">
        <v>0</v>
      </c>
      <c r="L17" s="4">
        <v>2.25</v>
      </c>
      <c r="M17" s="4">
        <v>3.26</v>
      </c>
    </row>
    <row r="18" spans="1:13" ht="12.75" x14ac:dyDescent="0.2">
      <c r="A18" s="1">
        <v>1983</v>
      </c>
      <c r="B18" s="4">
        <v>1.77</v>
      </c>
      <c r="C18" s="4">
        <v>1.48</v>
      </c>
      <c r="D18" s="4">
        <v>2.98</v>
      </c>
      <c r="E18" s="4">
        <v>1.1000000000000001</v>
      </c>
      <c r="F18" s="4">
        <v>0.15</v>
      </c>
      <c r="G18" s="4">
        <v>0.11</v>
      </c>
      <c r="H18" s="4">
        <v>1.95</v>
      </c>
      <c r="I18" s="4">
        <v>3.95</v>
      </c>
      <c r="J18" s="4">
        <v>3.81</v>
      </c>
      <c r="K18" s="4">
        <v>3.37</v>
      </c>
      <c r="L18" s="4">
        <v>1.51</v>
      </c>
      <c r="M18" s="4">
        <v>1.45</v>
      </c>
    </row>
    <row r="19" spans="1:13" ht="12.75" x14ac:dyDescent="0.2">
      <c r="A19" s="1">
        <v>1984</v>
      </c>
      <c r="B19" s="4">
        <v>0.42</v>
      </c>
      <c r="C19" s="4">
        <v>0.3</v>
      </c>
      <c r="D19" s="4">
        <v>0.06</v>
      </c>
      <c r="E19" s="4">
        <v>0.65</v>
      </c>
      <c r="F19" s="4">
        <v>0.37</v>
      </c>
      <c r="G19" s="4">
        <v>2.57</v>
      </c>
      <c r="H19" s="4">
        <v>3.48</v>
      </c>
      <c r="I19" s="4">
        <v>2.72</v>
      </c>
      <c r="J19" s="4">
        <v>1.23</v>
      </c>
      <c r="K19" s="4">
        <v>2.46</v>
      </c>
      <c r="L19" s="4">
        <v>1.0900000000000001</v>
      </c>
      <c r="M19" s="4">
        <v>5.56</v>
      </c>
    </row>
    <row r="20" spans="1:13" ht="12.75" x14ac:dyDescent="0.2">
      <c r="A20" s="1">
        <v>1985</v>
      </c>
      <c r="B20" s="4">
        <v>1.5</v>
      </c>
      <c r="C20" s="4">
        <v>1.43</v>
      </c>
      <c r="D20" s="4">
        <v>1.73</v>
      </c>
      <c r="E20" s="4">
        <v>1.68</v>
      </c>
      <c r="F20" s="4">
        <v>0.17</v>
      </c>
      <c r="G20" s="4">
        <v>0.4</v>
      </c>
      <c r="H20" s="4">
        <v>2.2000000000000002</v>
      </c>
      <c r="I20" s="4">
        <v>3.15</v>
      </c>
      <c r="J20" s="4">
        <v>4.2300000000000004</v>
      </c>
      <c r="K20" s="4">
        <v>3.01</v>
      </c>
      <c r="L20" s="4">
        <v>2.0099999999999998</v>
      </c>
      <c r="M20" s="4">
        <v>0.28000000000000003</v>
      </c>
    </row>
    <row r="21" spans="1:13" ht="12.75" x14ac:dyDescent="0.2">
      <c r="A21" s="1">
        <v>1986</v>
      </c>
      <c r="B21" s="4">
        <v>0</v>
      </c>
      <c r="C21" s="4">
        <v>2.65</v>
      </c>
      <c r="D21" s="4">
        <v>1.04</v>
      </c>
      <c r="E21" s="4">
        <v>0.11</v>
      </c>
      <c r="F21" s="4">
        <v>0.87</v>
      </c>
      <c r="G21" s="4">
        <v>0.36</v>
      </c>
      <c r="H21" s="4">
        <v>4.37</v>
      </c>
      <c r="I21" s="4">
        <v>2.84</v>
      </c>
      <c r="J21" s="4">
        <v>0.8</v>
      </c>
      <c r="K21" s="4">
        <v>2.48</v>
      </c>
      <c r="L21" s="4">
        <v>2.69</v>
      </c>
      <c r="M21" s="4">
        <v>1.64</v>
      </c>
    </row>
    <row r="22" spans="1:13" ht="12.75" x14ac:dyDescent="0.2">
      <c r="A22" s="1">
        <v>1987</v>
      </c>
      <c r="B22" s="4">
        <v>0.54</v>
      </c>
      <c r="C22" s="4">
        <v>1.18</v>
      </c>
      <c r="D22" s="4">
        <v>0.56999999999999995</v>
      </c>
      <c r="E22" s="4">
        <v>0.34</v>
      </c>
      <c r="F22" s="4">
        <v>0.96</v>
      </c>
      <c r="G22" s="4">
        <v>0.44</v>
      </c>
      <c r="H22" s="4">
        <v>5.29</v>
      </c>
      <c r="I22" s="4">
        <v>4.46</v>
      </c>
      <c r="J22" s="4">
        <v>1.25</v>
      </c>
      <c r="K22" s="4">
        <v>1.1399999999999999</v>
      </c>
      <c r="L22" s="4">
        <v>1.99</v>
      </c>
      <c r="M22" s="4">
        <v>1.97</v>
      </c>
    </row>
    <row r="23" spans="1:13" ht="12.75" x14ac:dyDescent="0.2">
      <c r="A23" s="1">
        <v>1988</v>
      </c>
      <c r="B23" s="4">
        <v>0.7</v>
      </c>
      <c r="C23" s="4">
        <v>1.03</v>
      </c>
      <c r="D23" s="4">
        <v>0</v>
      </c>
      <c r="E23" s="4">
        <v>2.52</v>
      </c>
      <c r="F23" s="4">
        <v>0.09</v>
      </c>
      <c r="G23" s="4">
        <v>0.54</v>
      </c>
      <c r="H23" s="4">
        <v>2.31</v>
      </c>
      <c r="I23" s="4">
        <v>5.89</v>
      </c>
      <c r="J23" s="4">
        <v>2.27</v>
      </c>
      <c r="K23" s="4">
        <v>1.72</v>
      </c>
      <c r="L23" s="4">
        <v>0.65</v>
      </c>
      <c r="M23" s="4">
        <v>0.37</v>
      </c>
    </row>
    <row r="24" spans="1:13" ht="12.75" x14ac:dyDescent="0.2">
      <c r="A24" s="1">
        <v>1989</v>
      </c>
      <c r="B24" s="4">
        <v>1.41</v>
      </c>
      <c r="C24" s="4">
        <v>0</v>
      </c>
      <c r="D24" s="4">
        <v>0.44</v>
      </c>
      <c r="E24" s="4">
        <v>0</v>
      </c>
      <c r="F24" s="4">
        <v>0.73</v>
      </c>
      <c r="G24" s="4">
        <v>0</v>
      </c>
      <c r="H24" s="4">
        <v>2.78</v>
      </c>
      <c r="I24" s="4">
        <v>1.65</v>
      </c>
      <c r="J24" s="4">
        <v>1.34</v>
      </c>
      <c r="K24" s="4">
        <v>2.13</v>
      </c>
      <c r="L24" s="4">
        <v>0.15</v>
      </c>
      <c r="M24" s="4">
        <v>0.66</v>
      </c>
    </row>
    <row r="25" spans="1:13" ht="12.75" x14ac:dyDescent="0.2">
      <c r="A25" s="1">
        <v>1990</v>
      </c>
      <c r="B25" s="4">
        <v>1.1299999999999999</v>
      </c>
      <c r="C25" s="4">
        <v>0.54</v>
      </c>
      <c r="D25" s="4">
        <v>0.74</v>
      </c>
      <c r="E25" s="4">
        <v>0.59</v>
      </c>
      <c r="F25" s="4">
        <v>0.84</v>
      </c>
      <c r="G25" s="4">
        <v>0.45</v>
      </c>
      <c r="H25" s="4">
        <v>2.71</v>
      </c>
      <c r="I25" s="4">
        <v>2.5499999999999998</v>
      </c>
      <c r="J25" s="4">
        <v>1.79</v>
      </c>
      <c r="K25" s="4">
        <v>0.51</v>
      </c>
      <c r="L25" s="4">
        <v>2.08</v>
      </c>
      <c r="M25" s="4">
        <v>3.39</v>
      </c>
    </row>
    <row r="26" spans="1:13" ht="12.75" x14ac:dyDescent="0.2">
      <c r="A26" s="1">
        <v>1991</v>
      </c>
      <c r="B26" s="4">
        <v>0.51</v>
      </c>
      <c r="C26" s="4">
        <v>2.54</v>
      </c>
      <c r="D26" s="4">
        <v>2.73</v>
      </c>
      <c r="E26" s="4">
        <v>0</v>
      </c>
      <c r="F26" s="4">
        <v>0</v>
      </c>
      <c r="G26" s="4">
        <v>0.79</v>
      </c>
      <c r="H26" s="4">
        <v>3.31</v>
      </c>
      <c r="I26" s="4">
        <v>3.05</v>
      </c>
      <c r="J26" s="4">
        <v>1.32</v>
      </c>
      <c r="K26" s="4">
        <v>0.57999999999999996</v>
      </c>
      <c r="L26" s="4">
        <v>1.66</v>
      </c>
      <c r="M26" s="4">
        <v>4.5199999999999996</v>
      </c>
    </row>
    <row r="27" spans="1:13" ht="12.75" x14ac:dyDescent="0.2">
      <c r="A27" s="1">
        <v>1992</v>
      </c>
      <c r="B27" s="4">
        <v>1.81</v>
      </c>
      <c r="C27" s="4">
        <v>1.98</v>
      </c>
      <c r="D27" s="4">
        <v>2.2000000000000002</v>
      </c>
      <c r="E27" s="4">
        <v>1.24</v>
      </c>
      <c r="F27" s="4">
        <v>6.53</v>
      </c>
      <c r="G27" s="4">
        <v>0.51</v>
      </c>
      <c r="H27" s="4">
        <v>2.0299999999999998</v>
      </c>
      <c r="I27" s="4">
        <v>2.52</v>
      </c>
      <c r="J27" s="4">
        <v>0.43</v>
      </c>
      <c r="K27" s="4">
        <v>1.9</v>
      </c>
      <c r="L27" s="4">
        <v>0.26</v>
      </c>
      <c r="M27" s="4">
        <v>4.16</v>
      </c>
    </row>
    <row r="28" spans="1:13" ht="12.75" x14ac:dyDescent="0.2">
      <c r="A28" s="1">
        <v>1993</v>
      </c>
      <c r="B28" s="4">
        <v>5.72</v>
      </c>
      <c r="C28" s="4">
        <v>2.15</v>
      </c>
      <c r="D28" s="4">
        <v>0.55000000000000004</v>
      </c>
      <c r="E28" s="4">
        <v>0.25</v>
      </c>
      <c r="F28" s="4">
        <v>0.65</v>
      </c>
      <c r="G28" s="4">
        <v>0.1</v>
      </c>
      <c r="H28" s="4">
        <v>1.5</v>
      </c>
      <c r="I28" s="4">
        <v>5.5</v>
      </c>
      <c r="J28" s="4">
        <v>0.5</v>
      </c>
      <c r="K28" s="4">
        <v>0.19</v>
      </c>
      <c r="L28" s="4">
        <v>1.31</v>
      </c>
      <c r="M28" s="4">
        <v>0.66</v>
      </c>
    </row>
    <row r="29" spans="1:13" ht="12.75" x14ac:dyDescent="0.2">
      <c r="A29" s="1">
        <v>1994</v>
      </c>
      <c r="B29" s="4">
        <v>0.28999999999999998</v>
      </c>
      <c r="C29" s="4">
        <v>1.65</v>
      </c>
      <c r="D29" s="4">
        <v>1.27</v>
      </c>
      <c r="E29" s="4">
        <v>0.15</v>
      </c>
      <c r="F29" s="4">
        <v>0.38</v>
      </c>
      <c r="G29" s="4">
        <v>0.95</v>
      </c>
      <c r="H29" s="4">
        <v>3.02</v>
      </c>
      <c r="I29" s="4">
        <v>3.13</v>
      </c>
      <c r="J29" s="4">
        <v>0.75</v>
      </c>
      <c r="K29" s="4">
        <v>2.04</v>
      </c>
      <c r="L29" s="4">
        <v>4.43</v>
      </c>
      <c r="M29" s="4">
        <v>2.8</v>
      </c>
    </row>
    <row r="30" spans="1:13" ht="12.75" x14ac:dyDescent="0.2">
      <c r="A30" s="1">
        <v>1995</v>
      </c>
      <c r="B30" s="4">
        <v>3.63</v>
      </c>
      <c r="C30" s="4">
        <v>1.1599999999999999</v>
      </c>
      <c r="D30" s="4">
        <v>0.77</v>
      </c>
      <c r="E30" s="4">
        <v>0.56999999999999995</v>
      </c>
      <c r="F30" s="4">
        <v>0.33</v>
      </c>
      <c r="G30" s="4">
        <v>0</v>
      </c>
      <c r="H30" s="4">
        <v>0.3</v>
      </c>
      <c r="I30" s="4">
        <v>1.78</v>
      </c>
      <c r="J30" s="4">
        <v>1.77</v>
      </c>
      <c r="K30" s="4">
        <v>0</v>
      </c>
      <c r="L30" s="4">
        <v>0.64</v>
      </c>
      <c r="M30" s="4">
        <v>0.18</v>
      </c>
    </row>
    <row r="31" spans="1:13" ht="12.75" x14ac:dyDescent="0.2">
      <c r="A31" s="1">
        <v>1996</v>
      </c>
      <c r="B31" s="4">
        <v>0</v>
      </c>
      <c r="C31" s="4">
        <v>1.92</v>
      </c>
      <c r="D31" s="4">
        <v>0</v>
      </c>
      <c r="E31" s="4">
        <v>0</v>
      </c>
      <c r="F31" s="4">
        <v>0</v>
      </c>
      <c r="G31" s="4">
        <v>2.09</v>
      </c>
      <c r="H31" s="4">
        <v>2.6</v>
      </c>
      <c r="I31" s="4">
        <v>2.4500000000000002</v>
      </c>
      <c r="J31" s="4">
        <v>2.74</v>
      </c>
      <c r="K31" s="4">
        <v>2.38</v>
      </c>
      <c r="L31" s="4">
        <v>0.62</v>
      </c>
      <c r="M31" s="4">
        <v>0</v>
      </c>
    </row>
    <row r="32" spans="1:13" ht="12.75" x14ac:dyDescent="0.2">
      <c r="A32" s="1">
        <v>1997</v>
      </c>
      <c r="B32" s="4">
        <v>1.64</v>
      </c>
      <c r="C32" s="4">
        <v>1.06</v>
      </c>
      <c r="D32" s="4">
        <v>0.06</v>
      </c>
      <c r="E32" s="4">
        <v>0.62</v>
      </c>
      <c r="F32" s="4">
        <v>1.73</v>
      </c>
      <c r="G32" s="4">
        <v>1.32</v>
      </c>
      <c r="H32" s="4">
        <v>1.74</v>
      </c>
      <c r="I32" s="4">
        <v>1.76</v>
      </c>
      <c r="J32" s="4">
        <v>2.35</v>
      </c>
      <c r="K32" s="4">
        <v>1.1499999999999999</v>
      </c>
      <c r="L32" s="4">
        <v>1.1499999999999999</v>
      </c>
      <c r="M32" s="4">
        <v>2.46</v>
      </c>
    </row>
    <row r="33" spans="1:17" ht="12.75" x14ac:dyDescent="0.2">
      <c r="A33" s="1">
        <v>1998</v>
      </c>
      <c r="B33" s="4">
        <v>0.43</v>
      </c>
      <c r="C33" s="4">
        <v>2.0299999999999998</v>
      </c>
      <c r="D33" s="4">
        <v>2.2400000000000002</v>
      </c>
      <c r="E33" s="4">
        <v>0.21</v>
      </c>
      <c r="F33" s="4">
        <v>0</v>
      </c>
      <c r="G33" s="4">
        <v>0.08</v>
      </c>
      <c r="H33" s="4">
        <v>6.99</v>
      </c>
      <c r="I33" s="4">
        <v>2.54</v>
      </c>
      <c r="J33" s="4">
        <v>0.35</v>
      </c>
      <c r="K33" s="4">
        <v>1.6</v>
      </c>
      <c r="L33" s="4">
        <v>0.98</v>
      </c>
      <c r="M33" s="4">
        <v>0.67</v>
      </c>
    </row>
    <row r="34" spans="1:17" ht="12.75" x14ac:dyDescent="0.2">
      <c r="A34" s="1">
        <v>1999</v>
      </c>
      <c r="B34" s="4">
        <v>0.13</v>
      </c>
      <c r="C34" s="4">
        <v>0</v>
      </c>
      <c r="D34" s="4">
        <v>0.3</v>
      </c>
      <c r="E34" s="4">
        <v>1.1499999999999999</v>
      </c>
      <c r="F34" s="4">
        <v>0</v>
      </c>
      <c r="G34" s="4">
        <v>0.63</v>
      </c>
      <c r="H34" s="4">
        <v>4.0999999999999996</v>
      </c>
      <c r="I34" s="4">
        <v>4.33</v>
      </c>
      <c r="J34" s="4">
        <v>2.62</v>
      </c>
      <c r="K34" s="4">
        <v>0</v>
      </c>
      <c r="L34" s="4">
        <v>0</v>
      </c>
      <c r="M34" s="4">
        <v>0</v>
      </c>
    </row>
    <row r="35" spans="1:17" ht="12.75" x14ac:dyDescent="0.2">
      <c r="A35" s="1">
        <v>2000</v>
      </c>
      <c r="B35" s="4">
        <v>0.08</v>
      </c>
      <c r="C35" s="4">
        <v>0.1</v>
      </c>
      <c r="D35" s="4">
        <v>1.53</v>
      </c>
      <c r="E35" s="4">
        <v>0</v>
      </c>
      <c r="F35" s="4">
        <v>0</v>
      </c>
      <c r="G35" s="4">
        <v>1.76</v>
      </c>
      <c r="H35" s="4">
        <v>2.74</v>
      </c>
      <c r="I35" s="4">
        <v>2.54</v>
      </c>
      <c r="J35" s="4">
        <v>1.59</v>
      </c>
      <c r="K35" s="4">
        <v>1.56</v>
      </c>
      <c r="L35" s="4">
        <v>0.93</v>
      </c>
      <c r="M35" s="4">
        <v>1.34</v>
      </c>
    </row>
    <row r="36" spans="1:17" ht="12.75" x14ac:dyDescent="0.2">
      <c r="A36" s="1">
        <v>2001</v>
      </c>
      <c r="B36" s="4">
        <v>1.3</v>
      </c>
      <c r="C36" s="4">
        <v>0.94</v>
      </c>
      <c r="D36" s="4">
        <v>1.02</v>
      </c>
      <c r="E36" s="4">
        <v>0.43</v>
      </c>
      <c r="F36" s="4">
        <v>0.47</v>
      </c>
      <c r="G36" s="4">
        <v>0.62</v>
      </c>
      <c r="H36" s="4">
        <v>2.63</v>
      </c>
      <c r="I36" s="4">
        <v>2.2599999999999998</v>
      </c>
      <c r="J36" s="4">
        <v>1.56</v>
      </c>
      <c r="K36" s="4">
        <v>1.49</v>
      </c>
      <c r="L36" s="4">
        <v>0.73</v>
      </c>
      <c r="M36" s="4">
        <v>1.34</v>
      </c>
    </row>
    <row r="37" spans="1:17" ht="12.75" x14ac:dyDescent="0.2">
      <c r="A37" s="1">
        <v>2002</v>
      </c>
      <c r="B37" s="4">
        <v>1.3</v>
      </c>
      <c r="C37" s="4">
        <v>0</v>
      </c>
      <c r="D37" s="4">
        <v>0.23</v>
      </c>
      <c r="E37" s="4">
        <v>0.08</v>
      </c>
      <c r="F37" s="4">
        <v>0</v>
      </c>
      <c r="G37" s="4">
        <v>0.23</v>
      </c>
      <c r="H37" s="4">
        <v>3.29</v>
      </c>
      <c r="I37" s="4">
        <v>3.69</v>
      </c>
      <c r="J37" s="4">
        <v>4.08</v>
      </c>
      <c r="K37" s="4">
        <v>1.1399999999999999</v>
      </c>
      <c r="L37" s="4">
        <v>0.56000000000000005</v>
      </c>
      <c r="M37" s="4">
        <v>1.89</v>
      </c>
    </row>
    <row r="38" spans="1:17" ht="12.75" x14ac:dyDescent="0.2">
      <c r="A38" s="1">
        <v>2003</v>
      </c>
      <c r="B38" s="4">
        <v>0.12</v>
      </c>
      <c r="C38" s="4">
        <v>2.09</v>
      </c>
      <c r="D38" s="4">
        <v>0.81</v>
      </c>
      <c r="E38" s="4">
        <v>0.2</v>
      </c>
      <c r="F38" s="4">
        <v>0.42</v>
      </c>
      <c r="G38" s="4">
        <v>0.28999999999999998</v>
      </c>
      <c r="H38" s="4">
        <v>1.58</v>
      </c>
      <c r="I38" s="4">
        <v>2.0499999999999998</v>
      </c>
      <c r="J38" s="4">
        <v>1.43</v>
      </c>
      <c r="K38" s="4">
        <v>1.38</v>
      </c>
      <c r="L38" s="4">
        <v>2.0499999999999998</v>
      </c>
      <c r="M38" s="4">
        <v>0.28000000000000003</v>
      </c>
    </row>
    <row r="39" spans="1:17" ht="12.75" x14ac:dyDescent="0.2">
      <c r="A39" s="1">
        <v>2004</v>
      </c>
      <c r="B39" s="4">
        <v>2.1</v>
      </c>
      <c r="C39" s="4">
        <v>0.96</v>
      </c>
      <c r="D39" s="4">
        <v>1.62</v>
      </c>
      <c r="E39" s="4">
        <v>2.35</v>
      </c>
      <c r="F39" s="4">
        <v>0.04</v>
      </c>
      <c r="G39" s="4">
        <v>0.1</v>
      </c>
      <c r="H39" s="4">
        <v>1.21</v>
      </c>
      <c r="I39" s="4">
        <v>2.3199999999999998</v>
      </c>
      <c r="J39" s="4">
        <v>2.13</v>
      </c>
      <c r="K39" s="4">
        <v>2.02</v>
      </c>
      <c r="L39" s="4">
        <v>1.92</v>
      </c>
      <c r="M39" s="4">
        <v>1.55</v>
      </c>
    </row>
    <row r="40" spans="1:17" ht="12.75" x14ac:dyDescent="0.2">
      <c r="A40" s="1">
        <v>2005</v>
      </c>
      <c r="B40" s="4">
        <v>2.89</v>
      </c>
      <c r="C40" s="4">
        <v>4.67</v>
      </c>
      <c r="D40" s="4">
        <v>0.72</v>
      </c>
      <c r="E40" s="4">
        <v>0.65</v>
      </c>
      <c r="F40" s="4">
        <v>0</v>
      </c>
      <c r="G40" s="4">
        <v>0.1</v>
      </c>
      <c r="H40" s="4">
        <v>2.11</v>
      </c>
      <c r="I40" s="4">
        <v>3.34</v>
      </c>
      <c r="J40" s="4">
        <v>2.0699999999999998</v>
      </c>
      <c r="K40" s="4">
        <v>1.55</v>
      </c>
      <c r="L40" s="4">
        <v>0.04</v>
      </c>
      <c r="M40" s="4">
        <v>0.18</v>
      </c>
    </row>
    <row r="41" spans="1:17" ht="12.75" x14ac:dyDescent="0.2">
      <c r="A41" s="1">
        <v>2006</v>
      </c>
      <c r="B41" s="4">
        <v>0.3</v>
      </c>
      <c r="C41" s="4">
        <v>0.05</v>
      </c>
      <c r="D41" s="4">
        <v>0.67</v>
      </c>
      <c r="E41" s="4">
        <v>0.21</v>
      </c>
      <c r="F41" s="4">
        <v>0.17</v>
      </c>
      <c r="G41" s="4">
        <v>0.4</v>
      </c>
      <c r="H41" s="4">
        <v>6.77</v>
      </c>
      <c r="I41" s="4">
        <v>7.62</v>
      </c>
      <c r="J41" s="4">
        <v>1.76</v>
      </c>
      <c r="K41" s="4">
        <v>2.4900000000000002</v>
      </c>
      <c r="L41" s="4">
        <v>0.1</v>
      </c>
      <c r="M41" s="4">
        <v>0.2</v>
      </c>
    </row>
    <row r="42" spans="1:17" ht="12.75" x14ac:dyDescent="0.2">
      <c r="A42" s="1">
        <v>2007</v>
      </c>
      <c r="B42" s="4">
        <v>1.38</v>
      </c>
      <c r="C42" s="4">
        <v>0.86</v>
      </c>
      <c r="D42" s="4">
        <v>2.0299999999999998</v>
      </c>
      <c r="E42" s="4">
        <v>0.27</v>
      </c>
      <c r="F42" s="4">
        <v>0.71</v>
      </c>
      <c r="G42" s="4">
        <v>0.2</v>
      </c>
      <c r="H42" s="4">
        <v>4.8499999999999996</v>
      </c>
      <c r="I42" s="4">
        <v>4.0199999999999996</v>
      </c>
      <c r="J42" s="4">
        <v>0.96</v>
      </c>
      <c r="K42" s="4">
        <v>0</v>
      </c>
      <c r="L42" s="4">
        <v>0.28999999999999998</v>
      </c>
      <c r="M42" s="4">
        <v>3.47</v>
      </c>
    </row>
    <row r="43" spans="1:17" ht="12.75" x14ac:dyDescent="0.2">
      <c r="A43" s="1">
        <v>2008</v>
      </c>
      <c r="B43" s="4">
        <v>2.0299999999999998</v>
      </c>
      <c r="C43" s="4">
        <v>0.95</v>
      </c>
      <c r="D43" s="4">
        <v>0</v>
      </c>
      <c r="E43" s="4">
        <v>0</v>
      </c>
      <c r="F43" s="4">
        <v>0.88</v>
      </c>
      <c r="G43" s="4">
        <v>0.37</v>
      </c>
      <c r="H43" s="4">
        <v>3.12</v>
      </c>
      <c r="I43" s="4">
        <v>4.16</v>
      </c>
      <c r="J43" s="4">
        <v>2</v>
      </c>
      <c r="K43" s="4">
        <v>1.57</v>
      </c>
      <c r="L43" s="4">
        <v>0.81</v>
      </c>
      <c r="M43" s="4">
        <v>1.38</v>
      </c>
    </row>
    <row r="44" spans="1:17" ht="12.75" x14ac:dyDescent="0.2">
      <c r="A44" s="1">
        <v>2009</v>
      </c>
      <c r="B44" s="4">
        <v>0.33</v>
      </c>
      <c r="C44" s="4">
        <v>0.3</v>
      </c>
      <c r="D44" s="4">
        <v>0.43</v>
      </c>
      <c r="E44" s="4">
        <v>0.14000000000000001</v>
      </c>
      <c r="F44" s="4">
        <v>1.05</v>
      </c>
      <c r="G44" s="4">
        <v>2.44</v>
      </c>
      <c r="H44" s="4">
        <v>2.2000000000000002</v>
      </c>
      <c r="I44" s="4">
        <v>2.54</v>
      </c>
      <c r="J44" s="4">
        <v>1.88</v>
      </c>
      <c r="K44" s="4">
        <v>0.24</v>
      </c>
      <c r="L44" s="4">
        <v>0.22</v>
      </c>
      <c r="M44" s="4">
        <v>1.28</v>
      </c>
      <c r="N44" s="4"/>
    </row>
    <row r="45" spans="1:17" ht="12.75" x14ac:dyDescent="0.2">
      <c r="A45" s="1">
        <v>2010</v>
      </c>
      <c r="B45" s="4">
        <v>4.46</v>
      </c>
      <c r="C45" s="4">
        <v>1.3</v>
      </c>
      <c r="D45" s="4">
        <v>1.43</v>
      </c>
      <c r="E45" s="4">
        <v>0.36</v>
      </c>
      <c r="F45" s="4">
        <v>0.04</v>
      </c>
      <c r="G45" s="4">
        <v>0.08</v>
      </c>
      <c r="H45" s="4">
        <v>2.65</v>
      </c>
      <c r="I45" s="4">
        <v>2.2000000000000002</v>
      </c>
      <c r="J45" s="4">
        <v>1.44</v>
      </c>
      <c r="K45" s="4">
        <v>0.05</v>
      </c>
      <c r="L45" s="4">
        <v>0</v>
      </c>
      <c r="M45" s="4">
        <v>1.1100000000000001</v>
      </c>
      <c r="N45" s="4"/>
    </row>
    <row r="46" spans="1:17" ht="12.75" x14ac:dyDescent="0.2">
      <c r="A46" s="1">
        <v>2011</v>
      </c>
      <c r="B46" s="4">
        <v>0</v>
      </c>
      <c r="C46" s="4">
        <v>0.08</v>
      </c>
      <c r="D46" s="4">
        <v>0</v>
      </c>
      <c r="E46" s="4">
        <v>7.0000000000000007E-2</v>
      </c>
      <c r="F46" s="4">
        <v>0</v>
      </c>
      <c r="G46" s="4">
        <v>0</v>
      </c>
      <c r="H46" s="4">
        <v>1.51</v>
      </c>
      <c r="I46" s="4">
        <v>1.85</v>
      </c>
      <c r="J46" s="4">
        <v>1.29</v>
      </c>
      <c r="K46" s="4">
        <v>0.84</v>
      </c>
      <c r="L46" s="4">
        <v>0.89</v>
      </c>
      <c r="M46" s="4">
        <v>2.58</v>
      </c>
      <c r="N46" s="4"/>
      <c r="Q46" s="7"/>
    </row>
    <row r="47" spans="1:17" ht="12.75" x14ac:dyDescent="0.2">
      <c r="A47" s="1">
        <v>2012</v>
      </c>
      <c r="B47" s="4">
        <v>0.38</v>
      </c>
      <c r="C47" s="4">
        <v>0.12</v>
      </c>
      <c r="D47" s="4">
        <v>0.24</v>
      </c>
      <c r="E47" s="4">
        <v>0</v>
      </c>
      <c r="F47" s="4">
        <v>0</v>
      </c>
      <c r="G47" s="4">
        <v>0</v>
      </c>
      <c r="H47" s="4">
        <v>2.54</v>
      </c>
      <c r="I47" s="4">
        <v>1.4</v>
      </c>
      <c r="J47" s="4">
        <v>1.19</v>
      </c>
      <c r="K47" s="4">
        <v>0</v>
      </c>
      <c r="L47" s="4">
        <v>0.45</v>
      </c>
      <c r="M47" s="4">
        <v>1.02</v>
      </c>
      <c r="N47" s="4"/>
      <c r="P47" s="4"/>
      <c r="Q47" s="4"/>
    </row>
    <row r="48" spans="1:17" ht="12.75" x14ac:dyDescent="0.2">
      <c r="A48" s="1">
        <v>2013</v>
      </c>
      <c r="B48" s="4">
        <v>0.79</v>
      </c>
      <c r="C48" s="4">
        <v>0.05</v>
      </c>
      <c r="D48" s="4">
        <v>0.52</v>
      </c>
      <c r="E48" s="4">
        <v>0.37</v>
      </c>
      <c r="F48" s="4">
        <v>0.2</v>
      </c>
      <c r="G48" s="4">
        <v>0.78</v>
      </c>
      <c r="H48" s="4">
        <v>6.32</v>
      </c>
      <c r="I48" s="4">
        <v>2.57</v>
      </c>
      <c r="J48" s="4">
        <v>5.44</v>
      </c>
      <c r="K48" s="4">
        <v>0</v>
      </c>
      <c r="L48" s="4">
        <v>1.72</v>
      </c>
      <c r="M48" s="4">
        <v>0.51</v>
      </c>
      <c r="N48" s="4"/>
      <c r="P48" s="4"/>
      <c r="Q48" s="4"/>
    </row>
    <row r="49" spans="1:17" ht="12.75" x14ac:dyDescent="0.2">
      <c r="A49" s="1">
        <v>2014</v>
      </c>
      <c r="B49" s="4">
        <v>0</v>
      </c>
      <c r="C49" s="4">
        <v>0.08</v>
      </c>
      <c r="D49" s="4">
        <v>0.99</v>
      </c>
      <c r="E49" s="4">
        <v>0.08</v>
      </c>
      <c r="F49" s="4">
        <v>0</v>
      </c>
      <c r="G49" s="4">
        <v>0</v>
      </c>
      <c r="H49" s="4">
        <v>2.5499999999999998</v>
      </c>
      <c r="I49" s="4">
        <v>1.84</v>
      </c>
      <c r="J49" s="4">
        <v>7.35</v>
      </c>
      <c r="K49" s="4">
        <v>1.6</v>
      </c>
      <c r="L49" s="4">
        <v>0.38</v>
      </c>
      <c r="M49" s="4">
        <v>1.33</v>
      </c>
      <c r="N49" s="4"/>
      <c r="P49" s="4"/>
      <c r="Q49" s="4"/>
    </row>
    <row r="50" spans="1:17" ht="12.75" x14ac:dyDescent="0.2">
      <c r="A50" s="1">
        <v>2015</v>
      </c>
      <c r="B50" s="4">
        <v>2.5499999999999998</v>
      </c>
      <c r="C50" s="4">
        <v>0.05</v>
      </c>
      <c r="D50" s="4">
        <v>1.02</v>
      </c>
      <c r="E50" s="4">
        <v>0.65</v>
      </c>
      <c r="F50" s="4">
        <v>0.13</v>
      </c>
      <c r="G50" s="4">
        <v>0.56000000000000005</v>
      </c>
      <c r="H50" s="4">
        <v>2.74</v>
      </c>
      <c r="I50" s="4">
        <v>2.74</v>
      </c>
      <c r="J50" s="4">
        <v>3.01</v>
      </c>
      <c r="K50" s="4">
        <v>0.56999999999999995</v>
      </c>
      <c r="L50" s="4">
        <v>0</v>
      </c>
      <c r="M50" s="4">
        <v>1.93</v>
      </c>
      <c r="N50" s="4"/>
      <c r="P50" s="4"/>
      <c r="Q50" s="4"/>
    </row>
    <row r="51" spans="1:17" ht="12.75" x14ac:dyDescent="0.2">
      <c r="A51" s="1">
        <v>2016</v>
      </c>
      <c r="B51" s="4">
        <v>1.64</v>
      </c>
      <c r="C51" s="4">
        <v>0</v>
      </c>
      <c r="D51" s="4">
        <v>0.21</v>
      </c>
      <c r="E51" s="4">
        <v>0.36</v>
      </c>
      <c r="F51" s="4">
        <v>0.9</v>
      </c>
      <c r="G51" s="4">
        <v>0.56000000000000005</v>
      </c>
      <c r="H51" s="4">
        <v>2.5499999999999998</v>
      </c>
      <c r="I51" s="4">
        <v>4.2300000000000004</v>
      </c>
      <c r="J51" s="4">
        <v>6.48</v>
      </c>
      <c r="K51" s="4">
        <v>0.45</v>
      </c>
      <c r="L51" s="4">
        <v>0.6</v>
      </c>
      <c r="M51" s="4">
        <v>2.9</v>
      </c>
      <c r="N51" s="4"/>
      <c r="P51" s="4"/>
      <c r="Q51" s="4"/>
    </row>
    <row r="52" spans="1:17" ht="12.75" x14ac:dyDescent="0.2">
      <c r="A52" s="1">
        <v>2017</v>
      </c>
      <c r="B52" s="4">
        <v>0.98</v>
      </c>
      <c r="C52" s="4">
        <v>1.59</v>
      </c>
      <c r="D52" s="4">
        <v>0</v>
      </c>
      <c r="E52" s="4">
        <v>0</v>
      </c>
      <c r="F52" s="4">
        <v>0.31</v>
      </c>
      <c r="G52" s="4">
        <v>0.17</v>
      </c>
      <c r="H52" s="4">
        <v>6.3</v>
      </c>
      <c r="I52" s="4">
        <v>2.14</v>
      </c>
      <c r="J52" s="4">
        <v>0.15</v>
      </c>
      <c r="K52" s="4">
        <v>0.3</v>
      </c>
      <c r="L52" s="4">
        <v>0</v>
      </c>
      <c r="M52" s="4">
        <v>0.08</v>
      </c>
      <c r="N52" s="4"/>
      <c r="P52" s="4"/>
      <c r="Q52" s="4"/>
    </row>
    <row r="53" spans="1:17" ht="12.75" x14ac:dyDescent="0.2">
      <c r="A53" s="1">
        <v>2018</v>
      </c>
      <c r="B53" s="4">
        <v>0.34</v>
      </c>
      <c r="C53" s="4">
        <v>2.2799999999999998</v>
      </c>
      <c r="D53" s="4">
        <v>0.13</v>
      </c>
      <c r="E53" s="4">
        <v>0</v>
      </c>
      <c r="F53" s="4">
        <v>0</v>
      </c>
      <c r="G53" s="4">
        <v>0.59</v>
      </c>
      <c r="H53" s="4">
        <v>3.3</v>
      </c>
      <c r="I53" s="4">
        <v>2</v>
      </c>
      <c r="J53" s="4">
        <v>2.14</v>
      </c>
      <c r="K53" s="4">
        <v>3.86</v>
      </c>
      <c r="L53" s="4">
        <v>0</v>
      </c>
      <c r="M53" s="4">
        <v>1.38</v>
      </c>
      <c r="N53" s="4"/>
      <c r="P53" s="4"/>
      <c r="Q53" s="4"/>
    </row>
    <row r="54" spans="1:17" ht="12.75" x14ac:dyDescent="0.2">
      <c r="A54" s="1">
        <v>2019</v>
      </c>
      <c r="B54" s="4">
        <v>1.02</v>
      </c>
      <c r="C54" s="4">
        <v>1.25</v>
      </c>
      <c r="D54" s="4">
        <v>1.67</v>
      </c>
      <c r="E54" s="4">
        <v>0.26</v>
      </c>
      <c r="F54" s="4">
        <v>0.37</v>
      </c>
      <c r="G54" s="4">
        <v>0</v>
      </c>
      <c r="H54" s="4">
        <v>1.86</v>
      </c>
      <c r="I54" s="4">
        <v>3.14</v>
      </c>
      <c r="J54" s="4">
        <v>1.91</v>
      </c>
      <c r="K54" s="4">
        <v>0.39</v>
      </c>
      <c r="L54" s="4">
        <v>3.43</v>
      </c>
      <c r="M54" s="4">
        <v>2.06</v>
      </c>
      <c r="N54" s="4"/>
      <c r="P54" s="4"/>
      <c r="Q54" s="4"/>
    </row>
    <row r="55" spans="1:17" ht="12.75" x14ac:dyDescent="0.2">
      <c r="A55" s="1">
        <v>2020</v>
      </c>
      <c r="B55" s="4">
        <v>1.55</v>
      </c>
      <c r="C55" s="4">
        <v>2.13</v>
      </c>
      <c r="D55" s="4">
        <v>1.72</v>
      </c>
      <c r="E55" s="4">
        <v>0.08</v>
      </c>
      <c r="F55" s="4">
        <v>0</v>
      </c>
      <c r="G55" s="4">
        <v>0.25</v>
      </c>
      <c r="H55" s="4">
        <v>1.43</v>
      </c>
      <c r="I55" s="4">
        <v>0.33</v>
      </c>
      <c r="J55" s="4">
        <v>0.33</v>
      </c>
      <c r="K55" s="4">
        <v>0.36</v>
      </c>
      <c r="L55" s="4">
        <v>0.45</v>
      </c>
      <c r="M55" s="4">
        <v>0.56000000000000005</v>
      </c>
      <c r="N55" s="4"/>
      <c r="P55" s="4"/>
      <c r="Q55" s="4"/>
    </row>
    <row r="56" spans="1:17" ht="12.75" x14ac:dyDescent="0.2">
      <c r="A56" s="1">
        <v>2021</v>
      </c>
      <c r="B56" s="4">
        <v>0.85</v>
      </c>
      <c r="C56" s="4">
        <v>0.6</v>
      </c>
      <c r="D56" s="4">
        <v>0.71</v>
      </c>
      <c r="E56" s="4">
        <v>0.15</v>
      </c>
      <c r="F56" s="4">
        <v>0.08</v>
      </c>
      <c r="G56" s="4">
        <v>0.39</v>
      </c>
      <c r="H56" s="4">
        <v>4.8</v>
      </c>
      <c r="I56" s="4">
        <v>2.4700000000000002</v>
      </c>
      <c r="J56" s="4">
        <v>3.29</v>
      </c>
      <c r="K56" s="4">
        <v>0.6</v>
      </c>
      <c r="L56" s="4">
        <v>0.02</v>
      </c>
      <c r="M56" s="4">
        <v>1.1499999999999999</v>
      </c>
      <c r="N56" s="4"/>
      <c r="P56" s="4"/>
      <c r="Q56" s="4"/>
    </row>
    <row r="57" spans="1:17" ht="12.75" x14ac:dyDescent="0.2">
      <c r="A57" s="1">
        <v>2022</v>
      </c>
      <c r="B57" s="4">
        <v>1.3728</v>
      </c>
      <c r="C57" s="4">
        <v>9.4700000000000006E-2</v>
      </c>
      <c r="D57" s="4">
        <v>0.34189999999999998</v>
      </c>
      <c r="E57" s="4">
        <v>0</v>
      </c>
      <c r="F57" s="4">
        <v>0</v>
      </c>
      <c r="G57" s="4">
        <v>4.5754000000000001</v>
      </c>
      <c r="H57" s="4">
        <v>3.12</v>
      </c>
      <c r="I57" s="4">
        <v>4.4256000000000002</v>
      </c>
      <c r="J57" s="4">
        <v>2.2250000000000001</v>
      </c>
      <c r="K57" s="4">
        <v>3.0607000000000002</v>
      </c>
      <c r="L57" s="4">
        <v>0.10199999999999999</v>
      </c>
      <c r="M57" s="4">
        <v>2.4304000000000001</v>
      </c>
      <c r="N57" s="4"/>
      <c r="P57" s="4"/>
      <c r="Q57" s="4"/>
    </row>
    <row r="58" spans="1:17" ht="12.75" x14ac:dyDescent="0.2">
      <c r="A58" s="1">
        <v>2023</v>
      </c>
      <c r="B58" s="1">
        <v>1.98</v>
      </c>
      <c r="C58" s="1">
        <v>0.96</v>
      </c>
      <c r="D58" s="1">
        <v>0.99</v>
      </c>
      <c r="E58" s="1">
        <v>0</v>
      </c>
      <c r="F58" s="1">
        <v>0.56999999999999995</v>
      </c>
      <c r="G58" s="1">
        <v>0</v>
      </c>
      <c r="H58" s="1">
        <v>1.1399999999999999</v>
      </c>
      <c r="I58" s="1">
        <v>1.98</v>
      </c>
      <c r="J58" s="1">
        <v>1.57</v>
      </c>
      <c r="K58" s="1">
        <v>0.28000000000000003</v>
      </c>
      <c r="L58" s="1">
        <v>0.48</v>
      </c>
      <c r="M58" s="1">
        <v>1.56</v>
      </c>
      <c r="O58" s="4"/>
      <c r="P58" s="4"/>
      <c r="Q58" s="4"/>
    </row>
    <row r="59" spans="1:17" ht="12.75" x14ac:dyDescent="0.2">
      <c r="A59" s="1">
        <v>2024</v>
      </c>
      <c r="B59" s="1">
        <v>1.7</v>
      </c>
      <c r="C59" s="1">
        <v>1.68</v>
      </c>
      <c r="D59" s="1">
        <v>1.97</v>
      </c>
      <c r="E59" s="1">
        <v>0.1</v>
      </c>
      <c r="F59" s="1">
        <v>0.05</v>
      </c>
      <c r="G59" s="1">
        <v>1.05</v>
      </c>
      <c r="H59" s="1">
        <v>3.39</v>
      </c>
      <c r="I59" s="1">
        <v>1.47</v>
      </c>
      <c r="J59" s="1">
        <v>1.31</v>
      </c>
      <c r="K59" s="1">
        <v>0.38</v>
      </c>
      <c r="L59" s="1">
        <v>0.41</v>
      </c>
      <c r="M59" s="1">
        <v>0</v>
      </c>
      <c r="O59" s="4"/>
      <c r="P59" s="4"/>
      <c r="Q59" s="4"/>
    </row>
    <row r="60" spans="1:17" ht="12.75" x14ac:dyDescent="0.2">
      <c r="A60" s="2" t="s">
        <v>5</v>
      </c>
      <c r="B60" s="2"/>
      <c r="C60" s="2"/>
      <c r="D60" s="2"/>
      <c r="E60" s="2" t="s">
        <v>2</v>
      </c>
      <c r="F60" s="2"/>
      <c r="G60" s="2"/>
      <c r="H60" s="2"/>
      <c r="I60" s="2"/>
      <c r="J60" s="2"/>
      <c r="K60" s="2"/>
      <c r="L60" s="2"/>
      <c r="M60" s="2"/>
    </row>
    <row r="61" spans="1:17" ht="12.75" x14ac:dyDescent="0.2">
      <c r="A61" s="2"/>
      <c r="B61" s="5" t="s">
        <v>123</v>
      </c>
      <c r="C61" s="5" t="s">
        <v>124</v>
      </c>
      <c r="D61" s="5" t="s">
        <v>125</v>
      </c>
      <c r="E61" s="5" t="s">
        <v>126</v>
      </c>
      <c r="F61" s="5" t="s">
        <v>127</v>
      </c>
      <c r="G61" s="5" t="s">
        <v>128</v>
      </c>
      <c r="H61" s="5" t="s">
        <v>129</v>
      </c>
      <c r="I61" s="5" t="s">
        <v>130</v>
      </c>
      <c r="J61" s="5" t="s">
        <v>131</v>
      </c>
      <c r="K61" s="5" t="s">
        <v>132</v>
      </c>
      <c r="L61" s="5" t="s">
        <v>133</v>
      </c>
      <c r="M61" s="5" t="s">
        <v>134</v>
      </c>
    </row>
    <row r="62" spans="1:17" ht="12.75" x14ac:dyDescent="0.2">
      <c r="A62" s="1">
        <v>1968</v>
      </c>
      <c r="B62" s="9">
        <v>40.4</v>
      </c>
      <c r="C62" s="9">
        <v>49</v>
      </c>
      <c r="D62" s="9">
        <v>47.8</v>
      </c>
      <c r="E62" s="9">
        <v>54</v>
      </c>
      <c r="F62" s="9">
        <v>63</v>
      </c>
      <c r="G62" s="9">
        <v>71.7</v>
      </c>
      <c r="H62" s="9">
        <v>76.5</v>
      </c>
      <c r="I62" s="9">
        <v>71.7</v>
      </c>
      <c r="J62" s="9">
        <v>64.599999999999994</v>
      </c>
      <c r="K62" s="9">
        <v>59.4</v>
      </c>
      <c r="L62" s="9">
        <v>46.9</v>
      </c>
      <c r="M62" s="9">
        <v>37.9</v>
      </c>
    </row>
    <row r="63" spans="1:17" ht="12.75" x14ac:dyDescent="0.2">
      <c r="A63" s="1">
        <v>1969</v>
      </c>
      <c r="B63" s="9">
        <v>43.6</v>
      </c>
      <c r="C63" s="9">
        <v>42.2</v>
      </c>
      <c r="D63" s="9">
        <v>45.1</v>
      </c>
      <c r="E63" s="9">
        <v>55.7</v>
      </c>
      <c r="F63" s="9">
        <v>63</v>
      </c>
      <c r="G63" s="9">
        <v>68.400000000000006</v>
      </c>
      <c r="H63" s="9">
        <v>75.5</v>
      </c>
      <c r="I63" s="9">
        <v>75.7</v>
      </c>
      <c r="J63" s="9">
        <v>68.099999999999994</v>
      </c>
      <c r="K63" s="9">
        <v>56.6</v>
      </c>
      <c r="L63" s="9">
        <v>46.5</v>
      </c>
      <c r="M63" s="9">
        <v>41.7</v>
      </c>
    </row>
    <row r="64" spans="1:17" ht="12.75" x14ac:dyDescent="0.2">
      <c r="A64" s="1">
        <v>1970</v>
      </c>
      <c r="B64" s="9">
        <v>38.9</v>
      </c>
      <c r="C64" s="9">
        <v>45.3</v>
      </c>
      <c r="D64" s="9">
        <v>46.5</v>
      </c>
      <c r="E64" s="9">
        <v>51</v>
      </c>
      <c r="F64" s="9">
        <v>62.3</v>
      </c>
      <c r="G64" s="9">
        <v>70</v>
      </c>
      <c r="H64" s="9">
        <v>76.7</v>
      </c>
      <c r="I64" s="9">
        <v>74.400000000000006</v>
      </c>
      <c r="J64" s="9">
        <v>67.900000000000006</v>
      </c>
      <c r="K64" s="9">
        <v>54.2</v>
      </c>
      <c r="L64" s="9">
        <v>47</v>
      </c>
      <c r="M64" s="9">
        <v>42.1</v>
      </c>
    </row>
    <row r="65" spans="1:13" ht="12.75" x14ac:dyDescent="0.2">
      <c r="A65" s="1">
        <v>1971</v>
      </c>
      <c r="B65" s="9">
        <v>40.700000000000003</v>
      </c>
      <c r="C65" s="9">
        <v>43.4</v>
      </c>
      <c r="D65" s="9">
        <v>49.5</v>
      </c>
      <c r="E65" s="9">
        <v>54.2</v>
      </c>
      <c r="F65" s="9">
        <v>59.9</v>
      </c>
      <c r="G65" s="9">
        <v>70.7</v>
      </c>
      <c r="H65" s="9">
        <v>77.8</v>
      </c>
      <c r="I65" s="9">
        <v>72.599999999999994</v>
      </c>
      <c r="J65" s="9">
        <v>67.7</v>
      </c>
      <c r="K65" s="9">
        <v>55.7</v>
      </c>
      <c r="L65" s="9">
        <v>47.5</v>
      </c>
      <c r="M65" s="9">
        <v>39</v>
      </c>
    </row>
    <row r="66" spans="1:13" ht="12.75" x14ac:dyDescent="0.2">
      <c r="A66" s="1">
        <v>1972</v>
      </c>
      <c r="B66" s="9">
        <v>41.5</v>
      </c>
      <c r="C66" s="9">
        <v>44.7</v>
      </c>
      <c r="D66" s="9">
        <v>55.4</v>
      </c>
      <c r="E66" s="9">
        <v>54.6</v>
      </c>
      <c r="F66" s="9">
        <v>61.9</v>
      </c>
      <c r="G66" s="9">
        <v>71</v>
      </c>
      <c r="H66" s="9">
        <v>75.900000000000006</v>
      </c>
      <c r="I66" s="9">
        <v>73.099999999999994</v>
      </c>
      <c r="J66" s="9">
        <v>67.3</v>
      </c>
      <c r="K66" s="9">
        <v>59.6</v>
      </c>
      <c r="L66" s="9">
        <v>43.8</v>
      </c>
      <c r="M66" s="9">
        <v>41.7</v>
      </c>
    </row>
    <row r="67" spans="1:13" ht="12.75" x14ac:dyDescent="0.2">
      <c r="A67" s="1">
        <v>1973</v>
      </c>
      <c r="B67" s="9">
        <v>37.6</v>
      </c>
      <c r="C67" s="9">
        <v>41.8</v>
      </c>
      <c r="D67" s="9">
        <v>45.2</v>
      </c>
      <c r="E67" s="9">
        <v>52.1</v>
      </c>
      <c r="F67" s="9">
        <v>62.4</v>
      </c>
      <c r="G67" s="9">
        <v>69</v>
      </c>
      <c r="H67" s="9">
        <v>74.2</v>
      </c>
      <c r="I67" s="9">
        <v>72.3</v>
      </c>
      <c r="J67" s="9">
        <v>67.900000000000006</v>
      </c>
      <c r="K67" s="9">
        <v>58.4</v>
      </c>
      <c r="L67" s="9">
        <v>47.6</v>
      </c>
      <c r="M67" s="9">
        <v>40.5</v>
      </c>
    </row>
    <row r="68" spans="1:13" ht="12.75" x14ac:dyDescent="0.2">
      <c r="A68" s="1">
        <v>1974</v>
      </c>
      <c r="B68" s="9">
        <v>42.3</v>
      </c>
      <c r="C68" s="9">
        <v>44.7</v>
      </c>
      <c r="D68" s="9">
        <v>51.9</v>
      </c>
      <c r="E68" s="9">
        <v>55</v>
      </c>
      <c r="F68" s="9">
        <v>63.8</v>
      </c>
      <c r="G68" s="9">
        <v>74.7</v>
      </c>
      <c r="H68" s="9">
        <v>74.5</v>
      </c>
      <c r="I68" s="9">
        <v>71.8</v>
      </c>
      <c r="J68" s="9">
        <v>67.900000000000006</v>
      </c>
      <c r="K68" s="9">
        <v>57.8</v>
      </c>
      <c r="L68" s="9">
        <v>46.5</v>
      </c>
      <c r="M68" s="9">
        <v>41.7</v>
      </c>
    </row>
    <row r="69" spans="1:13" ht="12.75" x14ac:dyDescent="0.2">
      <c r="A69" s="1">
        <v>1975</v>
      </c>
      <c r="B69" s="9">
        <v>38</v>
      </c>
      <c r="C69" s="9">
        <v>41.1</v>
      </c>
      <c r="D69" s="9">
        <v>47.7</v>
      </c>
      <c r="E69" s="9">
        <v>49.8</v>
      </c>
      <c r="F69" s="9">
        <v>58.8</v>
      </c>
      <c r="G69" s="9">
        <v>69.7</v>
      </c>
      <c r="H69" s="9">
        <v>73.5</v>
      </c>
      <c r="I69" s="9">
        <v>74.7</v>
      </c>
      <c r="J69" s="9">
        <v>65.5</v>
      </c>
      <c r="K69" s="9">
        <v>55.9</v>
      </c>
      <c r="L69" s="9">
        <v>44.2</v>
      </c>
      <c r="M69" s="9">
        <v>39.200000000000003</v>
      </c>
    </row>
    <row r="70" spans="1:13" ht="12.75" x14ac:dyDescent="0.2">
      <c r="A70" s="1">
        <v>1976</v>
      </c>
      <c r="B70" s="9">
        <v>39.700000000000003</v>
      </c>
      <c r="C70" s="9">
        <v>44.5</v>
      </c>
      <c r="D70" s="9">
        <v>47.8</v>
      </c>
      <c r="E70" s="9">
        <v>53.9</v>
      </c>
      <c r="F70" s="9">
        <v>62.6</v>
      </c>
      <c r="G70" s="9">
        <v>70</v>
      </c>
      <c r="H70" s="9">
        <v>72.900000000000006</v>
      </c>
      <c r="I70" s="9">
        <v>72.7</v>
      </c>
      <c r="J70" s="9">
        <v>67.900000000000006</v>
      </c>
      <c r="K70" s="9">
        <v>53.8</v>
      </c>
      <c r="L70" s="9">
        <v>44.6</v>
      </c>
      <c r="M70" s="9">
        <v>36.6</v>
      </c>
    </row>
    <row r="71" spans="1:13" ht="12.75" x14ac:dyDescent="0.2">
      <c r="A71" s="1">
        <v>1977</v>
      </c>
      <c r="B71" s="9">
        <v>40.700000000000003</v>
      </c>
      <c r="C71" s="9">
        <v>45.9</v>
      </c>
      <c r="D71" s="9">
        <v>45.1</v>
      </c>
      <c r="E71" s="9">
        <v>56</v>
      </c>
      <c r="F71" s="9">
        <v>60.7</v>
      </c>
      <c r="G71" s="9">
        <v>72.2</v>
      </c>
      <c r="H71" s="9">
        <v>75.900000000000006</v>
      </c>
      <c r="I71" s="9">
        <v>75.8</v>
      </c>
      <c r="J71" s="9">
        <v>70.7</v>
      </c>
      <c r="K71" s="9">
        <v>60.3</v>
      </c>
      <c r="L71" s="9">
        <v>47.7</v>
      </c>
      <c r="M71" s="9">
        <v>45.1</v>
      </c>
    </row>
    <row r="72" spans="1:13" ht="12.75" x14ac:dyDescent="0.2">
      <c r="A72" s="1">
        <v>1978</v>
      </c>
      <c r="B72" s="9">
        <v>42.7</v>
      </c>
      <c r="C72" s="9">
        <v>44.3</v>
      </c>
      <c r="D72" s="9">
        <v>51.7</v>
      </c>
      <c r="E72" s="9">
        <v>55.8</v>
      </c>
      <c r="F72" s="9">
        <v>62.1</v>
      </c>
      <c r="G72" s="9">
        <v>73</v>
      </c>
      <c r="H72" s="9">
        <v>76.400000000000006</v>
      </c>
      <c r="I72" s="9">
        <v>71.8</v>
      </c>
      <c r="J72" s="9">
        <v>67.900000000000006</v>
      </c>
      <c r="K72" s="9">
        <v>60.9</v>
      </c>
      <c r="L72" s="9">
        <v>49.2</v>
      </c>
      <c r="M72" s="9">
        <v>39</v>
      </c>
    </row>
    <row r="73" spans="1:13" ht="12.75" x14ac:dyDescent="0.2">
      <c r="A73" s="1">
        <v>1979</v>
      </c>
      <c r="B73" s="9">
        <v>37.6</v>
      </c>
      <c r="C73" s="9">
        <v>43.3</v>
      </c>
      <c r="D73" s="9">
        <v>48.3</v>
      </c>
      <c r="E73" s="9">
        <v>55.2</v>
      </c>
      <c r="F73" s="9">
        <v>61.3</v>
      </c>
      <c r="G73" s="9">
        <v>69.3</v>
      </c>
      <c r="H73" s="9">
        <v>75.900000000000006</v>
      </c>
      <c r="I73" s="9">
        <v>71.5</v>
      </c>
      <c r="J73" s="9">
        <v>69.7</v>
      </c>
      <c r="K73" s="9">
        <v>60.9</v>
      </c>
      <c r="L73" s="9">
        <v>44.7</v>
      </c>
      <c r="M73" s="9">
        <v>42.6</v>
      </c>
    </row>
    <row r="74" spans="1:13" ht="12.75" x14ac:dyDescent="0.2">
      <c r="A74" s="1">
        <v>1980</v>
      </c>
      <c r="B74" s="9">
        <v>43.4</v>
      </c>
      <c r="C74" s="9">
        <v>45.9</v>
      </c>
      <c r="D74" s="9">
        <v>47.2</v>
      </c>
      <c r="E74" s="9">
        <v>55.4</v>
      </c>
      <c r="F74" s="9">
        <v>60.3</v>
      </c>
      <c r="G74" s="9">
        <v>73.7</v>
      </c>
      <c r="H74" s="9">
        <v>77.8</v>
      </c>
      <c r="I74" s="9">
        <v>74.099999999999994</v>
      </c>
      <c r="J74" s="9">
        <v>70.599999999999994</v>
      </c>
      <c r="K74" s="9">
        <v>56.6</v>
      </c>
      <c r="L74" s="9">
        <v>47.9</v>
      </c>
      <c r="M74" s="9">
        <v>45.7</v>
      </c>
    </row>
    <row r="75" spans="1:13" ht="12.75" x14ac:dyDescent="0.2">
      <c r="A75" s="1">
        <v>1981</v>
      </c>
      <c r="B75" s="9">
        <v>43.7</v>
      </c>
      <c r="C75" s="9">
        <v>46.5</v>
      </c>
      <c r="D75" s="9">
        <v>48.2</v>
      </c>
      <c r="E75" s="9">
        <v>58.5</v>
      </c>
      <c r="F75" s="9">
        <v>62.5</v>
      </c>
      <c r="G75" s="9">
        <v>75.3</v>
      </c>
      <c r="H75" s="9">
        <v>76.599999999999994</v>
      </c>
      <c r="I75" s="9">
        <v>73.599999999999994</v>
      </c>
      <c r="J75" s="9">
        <v>69.599999999999994</v>
      </c>
      <c r="K75" s="9">
        <v>59.1</v>
      </c>
      <c r="L75" s="9">
        <v>50.8</v>
      </c>
      <c r="M75" s="9">
        <v>45</v>
      </c>
    </row>
    <row r="76" spans="1:13" ht="12.75" x14ac:dyDescent="0.2">
      <c r="A76" s="1">
        <v>1982</v>
      </c>
      <c r="B76" s="9">
        <v>41.9</v>
      </c>
      <c r="C76" s="9">
        <v>45.6</v>
      </c>
      <c r="D76" s="9">
        <v>49.8</v>
      </c>
      <c r="E76" s="9">
        <v>56.1</v>
      </c>
      <c r="F76" s="9">
        <v>61.8</v>
      </c>
      <c r="G76" s="9">
        <v>68.7</v>
      </c>
      <c r="H76" s="9">
        <v>75.5</v>
      </c>
      <c r="I76" s="9">
        <v>75.2</v>
      </c>
      <c r="J76" s="9">
        <v>70.099999999999994</v>
      </c>
      <c r="K76" s="9">
        <v>57.5</v>
      </c>
      <c r="L76" s="9">
        <v>47.2</v>
      </c>
      <c r="M76" s="9">
        <v>41.4</v>
      </c>
    </row>
    <row r="77" spans="1:13" ht="12.75" x14ac:dyDescent="0.2">
      <c r="A77" s="1">
        <v>1983</v>
      </c>
      <c r="B77" s="9">
        <v>42.9</v>
      </c>
      <c r="C77" s="9">
        <v>44.8</v>
      </c>
      <c r="D77" s="9">
        <v>48.2</v>
      </c>
      <c r="E77" s="9">
        <v>50</v>
      </c>
      <c r="F77" s="9">
        <v>59.7</v>
      </c>
      <c r="G77" s="9">
        <v>67.3</v>
      </c>
      <c r="H77" s="9">
        <v>74.8</v>
      </c>
      <c r="I77" s="9">
        <v>73.7</v>
      </c>
      <c r="J77" s="9">
        <v>71.8</v>
      </c>
      <c r="K77" s="9">
        <v>60</v>
      </c>
      <c r="L77" s="9">
        <v>48.1</v>
      </c>
      <c r="M77" s="9">
        <v>41.5</v>
      </c>
    </row>
    <row r="78" spans="1:13" ht="12.75" x14ac:dyDescent="0.2">
      <c r="A78" s="1">
        <v>1984</v>
      </c>
      <c r="B78" s="9">
        <v>42.6</v>
      </c>
      <c r="C78" s="9">
        <v>43.5</v>
      </c>
      <c r="D78" s="9">
        <v>49.8</v>
      </c>
      <c r="E78" s="9">
        <v>54</v>
      </c>
      <c r="F78" s="9">
        <v>66.900000000000006</v>
      </c>
      <c r="G78" s="9">
        <v>76</v>
      </c>
      <c r="H78" s="9">
        <v>74</v>
      </c>
      <c r="I78" s="9">
        <v>72.7</v>
      </c>
      <c r="J78" s="9">
        <v>68.400000000000006</v>
      </c>
      <c r="K78" s="9">
        <v>55</v>
      </c>
      <c r="L78" s="9">
        <v>46.8</v>
      </c>
      <c r="M78" s="9">
        <v>42.3</v>
      </c>
    </row>
    <row r="79" spans="1:13" ht="12.75" x14ac:dyDescent="0.2">
      <c r="A79" s="1">
        <v>1985</v>
      </c>
      <c r="B79" s="9">
        <v>39.799999999999997</v>
      </c>
      <c r="C79" s="9">
        <v>42.7</v>
      </c>
      <c r="D79" s="9">
        <v>50.3</v>
      </c>
      <c r="E79" s="9">
        <v>57.7</v>
      </c>
      <c r="F79" s="9">
        <v>63.4</v>
      </c>
      <c r="G79" s="9">
        <v>72.900000000000006</v>
      </c>
      <c r="H79" s="9">
        <v>75.599999999999994</v>
      </c>
      <c r="I79" s="9">
        <v>74.2</v>
      </c>
      <c r="J79" s="9">
        <v>65.7</v>
      </c>
      <c r="K79" s="9">
        <v>57.9</v>
      </c>
      <c r="L79" s="9">
        <v>46.6</v>
      </c>
      <c r="M79" s="9">
        <v>41.8</v>
      </c>
    </row>
    <row r="80" spans="1:13" ht="12.75" x14ac:dyDescent="0.2">
      <c r="A80" s="1">
        <v>1986</v>
      </c>
      <c r="B80" s="9">
        <v>44.6</v>
      </c>
      <c r="C80" s="9">
        <v>45.9</v>
      </c>
      <c r="D80" s="9">
        <v>51</v>
      </c>
      <c r="E80" s="9">
        <v>57.6</v>
      </c>
      <c r="F80" s="9">
        <v>64.400000000000006</v>
      </c>
      <c r="G80" s="9">
        <v>74</v>
      </c>
      <c r="H80" s="9">
        <v>74.8</v>
      </c>
      <c r="I80" s="9">
        <v>75.900000000000006</v>
      </c>
      <c r="J80" s="9">
        <v>66.2</v>
      </c>
      <c r="K80" s="9">
        <v>56.4</v>
      </c>
      <c r="L80" s="9">
        <v>47.5</v>
      </c>
      <c r="M80" s="9">
        <v>40.799999999999997</v>
      </c>
    </row>
    <row r="81" spans="1:13" ht="12.75" x14ac:dyDescent="0.2">
      <c r="A81" s="1">
        <v>1987</v>
      </c>
      <c r="B81" s="9">
        <v>39.1</v>
      </c>
      <c r="C81" s="9">
        <v>42.1</v>
      </c>
      <c r="D81" s="9">
        <v>45.9</v>
      </c>
      <c r="E81" s="9">
        <v>57.8</v>
      </c>
      <c r="F81" s="9">
        <v>62.1</v>
      </c>
      <c r="G81" s="9">
        <v>74</v>
      </c>
      <c r="H81" s="9">
        <v>75.3</v>
      </c>
      <c r="I81" s="9">
        <v>72.900000000000006</v>
      </c>
      <c r="J81" s="9">
        <v>66.900000000000006</v>
      </c>
      <c r="K81" s="9">
        <v>62.4</v>
      </c>
      <c r="L81" s="9">
        <v>46.2</v>
      </c>
      <c r="M81" s="9">
        <v>38.5</v>
      </c>
    </row>
    <row r="82" spans="1:13" ht="12.75" x14ac:dyDescent="0.2">
      <c r="A82" s="1">
        <v>1988</v>
      </c>
      <c r="B82" s="9">
        <v>40.1</v>
      </c>
      <c r="C82" s="9">
        <v>46.6</v>
      </c>
      <c r="D82" s="9">
        <v>48.6</v>
      </c>
      <c r="E82" s="9">
        <v>54.5</v>
      </c>
      <c r="F82" s="9">
        <v>63.5</v>
      </c>
      <c r="G82" s="9">
        <v>73.099999999999994</v>
      </c>
      <c r="H82" s="9">
        <v>75.8</v>
      </c>
      <c r="I82" s="9">
        <v>73.3</v>
      </c>
      <c r="J82" s="9">
        <v>66</v>
      </c>
      <c r="K82" s="9">
        <v>62</v>
      </c>
      <c r="L82" s="9">
        <v>47</v>
      </c>
      <c r="M82" s="9">
        <v>39.4</v>
      </c>
    </row>
    <row r="83" spans="1:13" ht="12.75" x14ac:dyDescent="0.2">
      <c r="A83" s="1">
        <v>1989</v>
      </c>
      <c r="B83" s="9">
        <v>39.1</v>
      </c>
      <c r="C83" s="9">
        <v>46</v>
      </c>
      <c r="D83" s="9">
        <v>52.5</v>
      </c>
      <c r="E83" s="9">
        <v>61</v>
      </c>
      <c r="F83" s="9">
        <v>65.900000000000006</v>
      </c>
      <c r="G83" s="9">
        <v>73.5</v>
      </c>
      <c r="H83" s="9">
        <v>77.3</v>
      </c>
      <c r="I83" s="9">
        <v>74.400000000000006</v>
      </c>
      <c r="J83" s="9">
        <v>68.900000000000006</v>
      </c>
      <c r="K83" s="9">
        <v>57.2</v>
      </c>
      <c r="L83" s="9">
        <v>48.3</v>
      </c>
      <c r="M83" s="9">
        <v>38.9</v>
      </c>
    </row>
    <row r="84" spans="1:13" ht="12.75" x14ac:dyDescent="0.2">
      <c r="A84" s="1">
        <v>1990</v>
      </c>
      <c r="B84" s="9">
        <v>38.6</v>
      </c>
      <c r="C84" s="9">
        <v>41.6</v>
      </c>
      <c r="D84" s="9">
        <v>49.6</v>
      </c>
      <c r="E84" s="9">
        <v>58.1</v>
      </c>
      <c r="F84" s="9">
        <v>61.2</v>
      </c>
      <c r="G84" s="9">
        <v>76.8</v>
      </c>
      <c r="H84" s="9">
        <v>74.599999999999994</v>
      </c>
      <c r="I84" s="9">
        <v>71.400000000000006</v>
      </c>
      <c r="J84" s="9">
        <v>70.3</v>
      </c>
      <c r="K84" s="9">
        <v>58.4</v>
      </c>
      <c r="L84" s="9">
        <v>47.9</v>
      </c>
      <c r="M84" s="9">
        <v>36.6</v>
      </c>
    </row>
    <row r="85" spans="1:13" ht="12.75" x14ac:dyDescent="0.2">
      <c r="A85" s="1">
        <v>1991</v>
      </c>
      <c r="B85" s="9">
        <v>39.9</v>
      </c>
      <c r="C85" s="9">
        <v>46.5</v>
      </c>
      <c r="D85" s="9">
        <v>44.6</v>
      </c>
      <c r="E85" s="9">
        <v>53.4</v>
      </c>
      <c r="F85" s="9">
        <v>61.7</v>
      </c>
      <c r="G85" s="9">
        <v>69.5</v>
      </c>
      <c r="H85" s="9">
        <v>74.8</v>
      </c>
      <c r="I85" s="9">
        <v>73.900000000000006</v>
      </c>
      <c r="J85" s="9">
        <v>67.099999999999994</v>
      </c>
      <c r="K85" s="9">
        <v>60.4</v>
      </c>
      <c r="L85" s="9">
        <v>46</v>
      </c>
      <c r="M85" s="9">
        <v>40.799999999999997</v>
      </c>
    </row>
    <row r="86" spans="1:13" ht="12.75" x14ac:dyDescent="0.2">
      <c r="A86" s="1">
        <v>1992</v>
      </c>
      <c r="B86" s="9">
        <v>38.4</v>
      </c>
      <c r="C86" s="9">
        <v>44.6</v>
      </c>
      <c r="D86" s="9">
        <v>48.1</v>
      </c>
      <c r="E86" s="9">
        <v>58.1</v>
      </c>
      <c r="F86" s="9">
        <v>62.3</v>
      </c>
      <c r="G86" s="9">
        <v>68.8</v>
      </c>
      <c r="H86" s="9">
        <v>74.5</v>
      </c>
      <c r="I86" s="9">
        <v>71.900000000000006</v>
      </c>
      <c r="J86" s="9">
        <v>68.900000000000006</v>
      </c>
      <c r="K86" s="9">
        <v>60.1</v>
      </c>
      <c r="L86" s="9">
        <v>42.6</v>
      </c>
      <c r="M86" s="9">
        <v>39.1</v>
      </c>
    </row>
    <row r="87" spans="1:13" ht="12.75" x14ac:dyDescent="0.2">
      <c r="A87" s="1">
        <v>1993</v>
      </c>
      <c r="B87" s="9">
        <v>42.7</v>
      </c>
      <c r="C87" s="9">
        <v>42.6</v>
      </c>
      <c r="D87" s="9">
        <v>50.2</v>
      </c>
      <c r="E87" s="9">
        <v>55.7</v>
      </c>
      <c r="F87" s="9">
        <v>64.5</v>
      </c>
      <c r="G87" s="9">
        <v>72</v>
      </c>
      <c r="H87" s="9">
        <v>76</v>
      </c>
      <c r="I87" s="9">
        <v>74</v>
      </c>
      <c r="J87" s="9">
        <v>67.5</v>
      </c>
      <c r="K87" s="9">
        <v>60.8</v>
      </c>
      <c r="L87" s="9">
        <v>45.7</v>
      </c>
      <c r="M87" s="9">
        <v>40.299999999999997</v>
      </c>
    </row>
    <row r="88" spans="1:13" ht="12.75" x14ac:dyDescent="0.2">
      <c r="A88" s="1">
        <v>1994</v>
      </c>
      <c r="B88" s="9">
        <v>40.4</v>
      </c>
      <c r="C88" s="9">
        <v>42.4</v>
      </c>
      <c r="D88" s="9">
        <v>49.7</v>
      </c>
      <c r="E88" s="9">
        <v>55.5</v>
      </c>
      <c r="F88" s="9">
        <v>62.8</v>
      </c>
      <c r="G88" s="9">
        <v>76.900000000000006</v>
      </c>
      <c r="H88" s="9">
        <v>77.7</v>
      </c>
      <c r="I88" s="9">
        <v>77.400000000000006</v>
      </c>
      <c r="J88" s="9">
        <v>70.2</v>
      </c>
      <c r="K88" s="9">
        <v>56.8</v>
      </c>
      <c r="L88" s="9">
        <v>45.8</v>
      </c>
      <c r="M88" s="9">
        <v>42.8</v>
      </c>
    </row>
    <row r="89" spans="1:13" ht="12.75" x14ac:dyDescent="0.2">
      <c r="A89" s="1">
        <v>1995</v>
      </c>
      <c r="B89" s="9">
        <v>39.799999999999997</v>
      </c>
      <c r="C89" s="9">
        <v>48.4</v>
      </c>
      <c r="D89" s="9">
        <v>48.6</v>
      </c>
      <c r="E89" s="9">
        <v>51.9</v>
      </c>
      <c r="F89" s="9">
        <v>59.7</v>
      </c>
      <c r="G89" s="9">
        <v>70.400000000000006</v>
      </c>
      <c r="H89" s="9">
        <v>76.3</v>
      </c>
      <c r="I89" s="9">
        <v>77.400000000000006</v>
      </c>
      <c r="J89" s="9">
        <v>69.400000000000006</v>
      </c>
      <c r="K89" s="9">
        <v>60.4</v>
      </c>
      <c r="L89" s="9">
        <v>51.4</v>
      </c>
      <c r="M89" s="9">
        <v>41.5</v>
      </c>
    </row>
    <row r="90" spans="1:13" ht="12.75" x14ac:dyDescent="0.2">
      <c r="A90" s="1">
        <v>1996</v>
      </c>
      <c r="B90" s="9">
        <v>42.1</v>
      </c>
      <c r="C90" s="9">
        <v>48.6</v>
      </c>
      <c r="D90" s="9">
        <v>48.6</v>
      </c>
      <c r="E90" s="9">
        <v>55.8</v>
      </c>
      <c r="F90" s="9">
        <v>66.8</v>
      </c>
      <c r="G90" s="9">
        <v>76</v>
      </c>
      <c r="H90" s="9">
        <v>76.7</v>
      </c>
      <c r="I90" s="9">
        <v>73.900000000000006</v>
      </c>
      <c r="J90" s="9">
        <v>66.400000000000006</v>
      </c>
      <c r="K90" s="9">
        <v>57.3</v>
      </c>
      <c r="L90" s="9">
        <v>47.4</v>
      </c>
      <c r="M90" s="9">
        <v>40.5</v>
      </c>
    </row>
    <row r="91" spans="1:13" ht="12.75" x14ac:dyDescent="0.2">
      <c r="A91" s="1">
        <v>1997</v>
      </c>
      <c r="B91" s="9">
        <v>38.299999999999997</v>
      </c>
      <c r="C91" s="9">
        <v>42.5</v>
      </c>
      <c r="D91" s="9">
        <v>50.9</v>
      </c>
      <c r="E91" s="9">
        <v>53.6</v>
      </c>
      <c r="F91" s="9">
        <v>66.3</v>
      </c>
      <c r="G91" s="9">
        <v>70.7</v>
      </c>
      <c r="H91" s="9">
        <v>76.2</v>
      </c>
      <c r="I91" s="9">
        <v>75.5</v>
      </c>
      <c r="J91" s="9">
        <v>72.8</v>
      </c>
      <c r="K91" s="9">
        <v>56.2</v>
      </c>
      <c r="L91" s="9">
        <v>48.1</v>
      </c>
      <c r="M91" s="9">
        <v>37.4</v>
      </c>
    </row>
    <row r="92" spans="1:13" ht="12.75" x14ac:dyDescent="0.2">
      <c r="A92" s="1">
        <v>1998</v>
      </c>
      <c r="B92" s="9">
        <v>40.700000000000003</v>
      </c>
      <c r="C92" s="9">
        <v>40.9</v>
      </c>
      <c r="D92" s="9">
        <v>47</v>
      </c>
      <c r="E92" s="9">
        <v>55.8</v>
      </c>
      <c r="F92" s="9">
        <v>61</v>
      </c>
      <c r="G92" s="9">
        <v>69.7</v>
      </c>
      <c r="H92" s="9">
        <v>77</v>
      </c>
      <c r="I92" s="9">
        <v>74.8</v>
      </c>
      <c r="J92" s="9">
        <v>70.2</v>
      </c>
      <c r="K92" s="9">
        <v>58.8</v>
      </c>
      <c r="L92" s="9">
        <v>48.5</v>
      </c>
      <c r="M92" s="9">
        <v>41.5</v>
      </c>
    </row>
    <row r="93" spans="1:13" ht="12.75" x14ac:dyDescent="0.2">
      <c r="A93" s="1">
        <v>1999</v>
      </c>
      <c r="B93" s="9">
        <v>42.8</v>
      </c>
      <c r="C93" s="9">
        <v>45.5</v>
      </c>
      <c r="D93" s="9">
        <v>48.1</v>
      </c>
      <c r="E93" s="9">
        <v>52.9</v>
      </c>
      <c r="F93" s="9">
        <v>62.3</v>
      </c>
      <c r="G93" s="9">
        <v>68.8</v>
      </c>
      <c r="H93" s="9">
        <v>75</v>
      </c>
      <c r="I93" s="9">
        <v>74.099999999999994</v>
      </c>
      <c r="J93" s="9">
        <v>69.400000000000006</v>
      </c>
      <c r="K93" s="9">
        <v>57.4</v>
      </c>
      <c r="L93" s="9">
        <v>51.4</v>
      </c>
      <c r="M93" s="9">
        <v>38.4</v>
      </c>
    </row>
    <row r="94" spans="1:13" ht="12.75" x14ac:dyDescent="0.2">
      <c r="A94" s="1">
        <v>2000</v>
      </c>
      <c r="B94" s="9">
        <v>42.9</v>
      </c>
      <c r="C94" s="9">
        <v>46.4</v>
      </c>
      <c r="D94" s="9">
        <v>49.4</v>
      </c>
      <c r="E94" s="9">
        <v>58.7</v>
      </c>
      <c r="F94" s="9">
        <v>62.8</v>
      </c>
      <c r="G94" s="9">
        <v>74.8</v>
      </c>
      <c r="H94" s="9">
        <v>76</v>
      </c>
      <c r="I94" s="9">
        <v>74.2</v>
      </c>
      <c r="J94" s="9">
        <v>68.8</v>
      </c>
      <c r="K94" s="9">
        <v>59</v>
      </c>
      <c r="L94" s="9">
        <v>47.8</v>
      </c>
      <c r="M94" s="9">
        <v>41.7</v>
      </c>
    </row>
    <row r="95" spans="1:13" ht="12.75" x14ac:dyDescent="0.2">
      <c r="A95" s="1">
        <v>2001</v>
      </c>
      <c r="B95" s="9">
        <v>40.9</v>
      </c>
      <c r="C95" s="9">
        <v>44.4</v>
      </c>
      <c r="D95" s="9">
        <v>48.8</v>
      </c>
      <c r="E95" s="9">
        <v>55.8</v>
      </c>
      <c r="F95" s="9">
        <v>62.4</v>
      </c>
      <c r="G95" s="9">
        <v>71.3</v>
      </c>
      <c r="H95" s="9">
        <v>76.099999999999994</v>
      </c>
      <c r="I95" s="9">
        <v>74.099999999999994</v>
      </c>
      <c r="J95" s="9">
        <v>69.099999999999994</v>
      </c>
      <c r="K95" s="9">
        <v>59.2</v>
      </c>
      <c r="L95" s="9">
        <v>48.1</v>
      </c>
      <c r="M95" s="9">
        <v>41.7</v>
      </c>
    </row>
    <row r="96" spans="1:13" ht="12.75" x14ac:dyDescent="0.2">
      <c r="A96" s="1">
        <v>2002</v>
      </c>
      <c r="B96" s="9">
        <v>40.9</v>
      </c>
      <c r="C96" s="9">
        <v>44.4</v>
      </c>
      <c r="D96" s="9">
        <v>46.7</v>
      </c>
      <c r="E96" s="9">
        <v>59.2</v>
      </c>
      <c r="F96" s="9">
        <v>62.8</v>
      </c>
      <c r="G96" s="9">
        <v>76.099999999999994</v>
      </c>
      <c r="H96" s="9">
        <v>76.7</v>
      </c>
      <c r="I96" s="9">
        <v>74.099999999999994</v>
      </c>
      <c r="J96" s="9">
        <v>68.3</v>
      </c>
      <c r="K96" s="9">
        <v>56.5</v>
      </c>
      <c r="L96" s="9">
        <v>47.4</v>
      </c>
      <c r="M96" s="9">
        <v>39.4</v>
      </c>
    </row>
    <row r="97" spans="1:17" ht="12.75" x14ac:dyDescent="0.2">
      <c r="A97" s="1">
        <v>2003</v>
      </c>
      <c r="B97" s="9">
        <v>45.6</v>
      </c>
      <c r="C97" s="9">
        <v>43.1</v>
      </c>
      <c r="D97" s="9">
        <v>47.4</v>
      </c>
      <c r="E97" s="9">
        <v>51.9</v>
      </c>
      <c r="F97" s="9">
        <v>63.8</v>
      </c>
      <c r="G97" s="9">
        <v>71.7</v>
      </c>
      <c r="H97" s="9">
        <v>80.099999999999994</v>
      </c>
      <c r="I97" s="9">
        <v>76.2</v>
      </c>
      <c r="J97" s="9">
        <v>70</v>
      </c>
      <c r="K97" s="9">
        <v>62.5</v>
      </c>
      <c r="L97" s="9">
        <v>47.4</v>
      </c>
      <c r="M97" s="9">
        <v>39.4</v>
      </c>
    </row>
    <row r="98" spans="1:17" ht="12.75" x14ac:dyDescent="0.2">
      <c r="A98" s="1">
        <v>2004</v>
      </c>
      <c r="B98" s="9">
        <v>41.4</v>
      </c>
      <c r="C98" s="9">
        <v>39.9</v>
      </c>
      <c r="D98" s="9">
        <v>53.1</v>
      </c>
      <c r="E98" s="9">
        <v>53.4</v>
      </c>
      <c r="F98" s="9">
        <v>63</v>
      </c>
      <c r="G98" s="9">
        <v>70.099999999999994</v>
      </c>
      <c r="H98" s="9">
        <v>74.7</v>
      </c>
      <c r="I98" s="9">
        <v>74.099999999999994</v>
      </c>
      <c r="J98" s="9">
        <v>69.099999999999994</v>
      </c>
      <c r="K98" s="9">
        <v>56</v>
      </c>
      <c r="L98" s="9">
        <v>45.2</v>
      </c>
      <c r="M98" s="9">
        <v>38.9</v>
      </c>
    </row>
    <row r="99" spans="1:17" ht="12.75" x14ac:dyDescent="0.2">
      <c r="A99" s="1">
        <v>2005</v>
      </c>
      <c r="B99" s="9">
        <v>42.5</v>
      </c>
      <c r="C99" s="9">
        <v>43.9</v>
      </c>
      <c r="D99" s="9">
        <v>46.9</v>
      </c>
      <c r="E99" s="9">
        <v>54</v>
      </c>
      <c r="F99" s="9">
        <v>63.4</v>
      </c>
      <c r="G99" s="9">
        <v>70.400000000000006</v>
      </c>
      <c r="H99" s="9">
        <v>76.3</v>
      </c>
      <c r="I99" s="9">
        <v>72.5</v>
      </c>
      <c r="J99" s="9">
        <v>68.5</v>
      </c>
      <c r="K99" s="9">
        <v>58.7</v>
      </c>
      <c r="L99" s="9">
        <v>48.3</v>
      </c>
      <c r="M99" s="9">
        <v>41</v>
      </c>
    </row>
    <row r="100" spans="1:17" ht="12.75" x14ac:dyDescent="0.2">
      <c r="A100" s="1">
        <v>2006</v>
      </c>
      <c r="B100" s="9">
        <v>41.8</v>
      </c>
      <c r="C100" s="9">
        <v>45.1</v>
      </c>
      <c r="D100" s="9">
        <v>47</v>
      </c>
      <c r="E100" s="9">
        <v>56.9</v>
      </c>
      <c r="F100" s="9">
        <v>65.7</v>
      </c>
      <c r="G100" s="9">
        <v>73.7</v>
      </c>
      <c r="H100" s="9">
        <v>75.2</v>
      </c>
      <c r="I100" s="9">
        <v>71.5</v>
      </c>
      <c r="J100" s="9">
        <v>64.099999999999994</v>
      </c>
      <c r="K100" s="9">
        <v>57.8</v>
      </c>
      <c r="L100" s="9">
        <v>49.4</v>
      </c>
      <c r="M100" s="9">
        <v>40</v>
      </c>
    </row>
    <row r="101" spans="1:17" ht="12.75" x14ac:dyDescent="0.2">
      <c r="A101" s="1">
        <v>2007</v>
      </c>
      <c r="B101" s="9">
        <v>39.4</v>
      </c>
      <c r="C101" s="9">
        <v>44.5</v>
      </c>
      <c r="D101" s="9">
        <v>50.7</v>
      </c>
      <c r="E101" s="9">
        <v>55.4</v>
      </c>
      <c r="F101" s="9">
        <v>62.2</v>
      </c>
      <c r="G101" s="9">
        <v>71.3</v>
      </c>
      <c r="H101" s="9">
        <v>74.099999999999994</v>
      </c>
      <c r="I101" s="9">
        <v>73.599999999999994</v>
      </c>
      <c r="J101" s="9">
        <v>68.2</v>
      </c>
      <c r="K101" s="9">
        <v>58.8</v>
      </c>
      <c r="L101" s="9">
        <v>52.1</v>
      </c>
      <c r="M101" s="9">
        <v>40.4</v>
      </c>
    </row>
    <row r="102" spans="1:17" ht="12.75" x14ac:dyDescent="0.2">
      <c r="A102" s="1">
        <v>2008</v>
      </c>
      <c r="B102" s="9">
        <v>39.9</v>
      </c>
      <c r="C102" s="9">
        <v>44.8</v>
      </c>
      <c r="D102" s="9">
        <v>48</v>
      </c>
      <c r="E102" s="9">
        <v>53</v>
      </c>
      <c r="F102" s="9">
        <v>59.9</v>
      </c>
      <c r="G102" s="9">
        <v>70.400000000000006</v>
      </c>
      <c r="H102" s="9">
        <v>72.5</v>
      </c>
      <c r="I102" s="9">
        <v>72.5</v>
      </c>
      <c r="J102" s="9">
        <v>65.7</v>
      </c>
      <c r="K102" s="9">
        <v>58.6</v>
      </c>
      <c r="L102" s="9">
        <v>49.1</v>
      </c>
      <c r="M102" s="9">
        <v>42.6</v>
      </c>
    </row>
    <row r="103" spans="1:17" ht="12.75" x14ac:dyDescent="0.2">
      <c r="A103" s="1">
        <v>2009</v>
      </c>
      <c r="B103" s="9">
        <v>43.9</v>
      </c>
      <c r="C103" s="9">
        <v>44.7</v>
      </c>
      <c r="D103" s="9">
        <v>50.1</v>
      </c>
      <c r="E103" s="9">
        <v>53.9</v>
      </c>
      <c r="F103" s="9">
        <v>64.099999999999994</v>
      </c>
      <c r="G103" s="9">
        <v>67.5</v>
      </c>
      <c r="H103" s="9">
        <v>75.7</v>
      </c>
      <c r="I103" s="9">
        <v>73.2</v>
      </c>
      <c r="J103" s="9">
        <v>66.400000000000006</v>
      </c>
      <c r="K103" s="9">
        <v>57.1</v>
      </c>
      <c r="L103" s="9">
        <v>49.3</v>
      </c>
      <c r="M103" s="9">
        <v>38.5</v>
      </c>
    </row>
    <row r="104" spans="1:17" ht="12.75" x14ac:dyDescent="0.2">
      <c r="A104" s="1">
        <v>2010</v>
      </c>
      <c r="B104" s="9">
        <v>39.9</v>
      </c>
      <c r="C104" s="9">
        <v>42.3</v>
      </c>
      <c r="D104" s="9">
        <v>46.6</v>
      </c>
      <c r="E104" s="9">
        <v>54.3</v>
      </c>
      <c r="F104" s="9">
        <v>58.8</v>
      </c>
      <c r="G104" s="9">
        <v>69.5</v>
      </c>
      <c r="H104" s="9">
        <v>74.2</v>
      </c>
      <c r="I104" s="9">
        <v>73.7</v>
      </c>
      <c r="J104" s="9">
        <v>69.5</v>
      </c>
      <c r="K104" s="9">
        <v>58.8</v>
      </c>
      <c r="L104" s="9">
        <v>45.2</v>
      </c>
      <c r="M104" s="9">
        <v>45.3</v>
      </c>
      <c r="Q104" s="7"/>
    </row>
    <row r="105" spans="1:17" ht="12.75" x14ac:dyDescent="0.2">
      <c r="A105" s="1">
        <v>2011</v>
      </c>
      <c r="B105" s="9">
        <v>40.4</v>
      </c>
      <c r="C105" s="9">
        <v>40.299999999999997</v>
      </c>
      <c r="D105" s="9">
        <v>51.2</v>
      </c>
      <c r="E105" s="9">
        <v>57.5</v>
      </c>
      <c r="F105" s="9">
        <v>58.5</v>
      </c>
      <c r="G105" s="9">
        <v>70.7</v>
      </c>
      <c r="H105" s="9">
        <v>76.8</v>
      </c>
      <c r="I105" s="9">
        <v>76.5</v>
      </c>
      <c r="J105" s="9">
        <v>69.2</v>
      </c>
      <c r="K105" s="9">
        <v>59.1</v>
      </c>
      <c r="L105" s="9">
        <v>46.1</v>
      </c>
      <c r="M105" s="9">
        <v>39.299999999999997</v>
      </c>
      <c r="Q105" s="9"/>
    </row>
    <row r="106" spans="1:17" ht="12.75" x14ac:dyDescent="0.2">
      <c r="A106" s="1">
        <v>2012</v>
      </c>
      <c r="B106" s="9">
        <v>43.6</v>
      </c>
      <c r="C106" s="9">
        <v>43.5</v>
      </c>
      <c r="D106" s="9">
        <v>49.2</v>
      </c>
      <c r="E106" s="9">
        <v>57.7</v>
      </c>
      <c r="F106" s="9">
        <v>62.8</v>
      </c>
      <c r="G106" s="9">
        <v>72.099999999999994</v>
      </c>
      <c r="H106" s="9">
        <v>74.8</v>
      </c>
      <c r="I106" s="9">
        <v>76.099999999999994</v>
      </c>
      <c r="J106" s="9">
        <v>69.2</v>
      </c>
      <c r="K106" s="9">
        <v>59.5</v>
      </c>
      <c r="L106" s="9">
        <v>51.3</v>
      </c>
      <c r="M106" s="9">
        <v>42.2</v>
      </c>
      <c r="Q106" s="9"/>
    </row>
    <row r="107" spans="1:17" ht="12.75" x14ac:dyDescent="0.2">
      <c r="A107" s="1">
        <v>2013</v>
      </c>
      <c r="B107" s="9">
        <v>38.200000000000003</v>
      </c>
      <c r="C107" s="9">
        <v>41.1</v>
      </c>
      <c r="D107" s="9">
        <v>51</v>
      </c>
      <c r="E107" s="9">
        <v>55.9</v>
      </c>
      <c r="F107" s="9">
        <v>61.4</v>
      </c>
      <c r="G107" s="9">
        <v>73.400000000000006</v>
      </c>
      <c r="H107" s="9">
        <v>73.900000000000006</v>
      </c>
      <c r="I107" s="9">
        <v>73.2</v>
      </c>
      <c r="J107" s="9">
        <v>67.400000000000006</v>
      </c>
      <c r="K107" s="9">
        <v>55.7</v>
      </c>
      <c r="L107" s="9">
        <v>48.4</v>
      </c>
      <c r="M107" s="9">
        <v>40.299999999999997</v>
      </c>
      <c r="Q107" s="9"/>
    </row>
    <row r="108" spans="1:17" ht="12.75" x14ac:dyDescent="0.2">
      <c r="A108" s="1">
        <v>2014</v>
      </c>
      <c r="B108" s="9">
        <v>43.7</v>
      </c>
      <c r="C108" s="9">
        <v>47.4</v>
      </c>
      <c r="D108" s="9">
        <v>50.4</v>
      </c>
      <c r="E108" s="9">
        <v>55.1</v>
      </c>
      <c r="F108" s="9">
        <v>60.6</v>
      </c>
      <c r="G108" s="9">
        <v>71.8</v>
      </c>
      <c r="H108" s="9">
        <v>75</v>
      </c>
      <c r="I108" s="9">
        <v>71.599999999999994</v>
      </c>
      <c r="J108" s="9">
        <v>69.400000000000006</v>
      </c>
      <c r="K108" s="9">
        <v>59.6</v>
      </c>
      <c r="L108" s="9">
        <v>47.4</v>
      </c>
      <c r="M108" s="9">
        <v>43.8</v>
      </c>
    </row>
    <row r="109" spans="1:17" ht="12.75" x14ac:dyDescent="0.2">
      <c r="A109" s="1">
        <v>2015</v>
      </c>
      <c r="B109" s="9">
        <v>42.7</v>
      </c>
      <c r="C109" s="9">
        <v>49.8</v>
      </c>
      <c r="D109" s="9">
        <v>52.5</v>
      </c>
      <c r="E109" s="9">
        <v>53.4</v>
      </c>
      <c r="F109" s="9">
        <v>57.3</v>
      </c>
      <c r="G109" s="9">
        <v>71.099999999999994</v>
      </c>
      <c r="H109" s="9">
        <v>73.900000000000006</v>
      </c>
      <c r="I109" s="9">
        <v>75.2</v>
      </c>
      <c r="J109" s="9">
        <v>69.7</v>
      </c>
      <c r="K109" s="9">
        <v>62</v>
      </c>
      <c r="L109" s="9">
        <v>48.4</v>
      </c>
      <c r="M109" s="9">
        <v>40.799999999999997</v>
      </c>
    </row>
    <row r="110" spans="1:17" ht="12.75" x14ac:dyDescent="0.2">
      <c r="A110" s="1">
        <v>2016</v>
      </c>
      <c r="B110" s="9">
        <v>40.1</v>
      </c>
      <c r="C110" s="9">
        <v>47.4</v>
      </c>
      <c r="D110" s="9">
        <v>51.4</v>
      </c>
      <c r="E110" s="9">
        <v>55</v>
      </c>
      <c r="F110" s="9">
        <v>61.1</v>
      </c>
      <c r="G110" s="9">
        <v>72.900000000000006</v>
      </c>
      <c r="H110" s="9">
        <v>75.7</v>
      </c>
      <c r="I110" s="9">
        <v>71</v>
      </c>
      <c r="J110" s="9">
        <v>67.3</v>
      </c>
      <c r="K110" s="9">
        <v>60.2</v>
      </c>
      <c r="L110" s="9">
        <v>49.4</v>
      </c>
      <c r="M110" s="9">
        <v>44</v>
      </c>
    </row>
    <row r="111" spans="1:17" ht="12.75" x14ac:dyDescent="0.2">
      <c r="A111" s="1">
        <v>2017</v>
      </c>
      <c r="B111" s="9">
        <v>41</v>
      </c>
      <c r="C111" s="9">
        <v>45.7</v>
      </c>
      <c r="D111" s="9">
        <v>49</v>
      </c>
      <c r="E111" s="9">
        <v>55.9</v>
      </c>
      <c r="F111" s="9">
        <v>61.1</v>
      </c>
      <c r="G111" s="9">
        <v>72.5</v>
      </c>
      <c r="H111" s="9">
        <v>74.8</v>
      </c>
      <c r="I111" s="9">
        <v>71.7</v>
      </c>
      <c r="J111" s="9">
        <v>66.8</v>
      </c>
      <c r="K111" s="9">
        <v>60.5</v>
      </c>
      <c r="L111" s="9">
        <v>53.8</v>
      </c>
      <c r="M111" s="9">
        <v>42.3</v>
      </c>
    </row>
    <row r="112" spans="1:17" ht="12.75" x14ac:dyDescent="0.2">
      <c r="A112" s="1">
        <v>2018</v>
      </c>
      <c r="B112" s="9">
        <v>43</v>
      </c>
      <c r="C112" s="9">
        <v>45.8</v>
      </c>
      <c r="D112" s="9">
        <v>51.7</v>
      </c>
      <c r="E112" s="9">
        <v>59.1</v>
      </c>
      <c r="F112" s="9">
        <v>64.099999999999994</v>
      </c>
      <c r="G112" s="9">
        <v>73.2</v>
      </c>
      <c r="H112" s="9">
        <v>74.900000000000006</v>
      </c>
      <c r="I112" s="9">
        <v>73.900000000000006</v>
      </c>
      <c r="J112" s="9">
        <v>69.599999999999994</v>
      </c>
      <c r="K112" s="9">
        <v>55</v>
      </c>
      <c r="L112" s="9">
        <v>45.4</v>
      </c>
      <c r="M112" s="9">
        <v>41</v>
      </c>
    </row>
    <row r="113" spans="1:17" ht="12.75" x14ac:dyDescent="0.2">
      <c r="A113" s="1">
        <v>2019</v>
      </c>
      <c r="B113" s="9">
        <v>42.3</v>
      </c>
      <c r="C113" s="9">
        <v>40.5</v>
      </c>
      <c r="D113" s="9">
        <v>49.3</v>
      </c>
      <c r="E113" s="9">
        <v>55.1</v>
      </c>
      <c r="F113" s="9">
        <v>57.7</v>
      </c>
      <c r="G113" s="9">
        <v>68.3</v>
      </c>
      <c r="H113" s="9">
        <v>75.5</v>
      </c>
      <c r="I113" s="9">
        <v>75.099999999999994</v>
      </c>
      <c r="J113" s="9">
        <v>68.5</v>
      </c>
      <c r="K113" s="9">
        <v>55.8</v>
      </c>
      <c r="L113" s="9">
        <v>48.4</v>
      </c>
      <c r="M113" s="9">
        <v>41.2</v>
      </c>
    </row>
    <row r="114" spans="1:17" ht="12.75" x14ac:dyDescent="0.2">
      <c r="A114" s="1">
        <v>2020</v>
      </c>
      <c r="B114" s="9">
        <v>41.7</v>
      </c>
      <c r="C114" s="9">
        <v>43.2</v>
      </c>
      <c r="D114" s="9">
        <v>49</v>
      </c>
      <c r="E114" s="9">
        <v>54</v>
      </c>
      <c r="F114" s="9">
        <v>63.3</v>
      </c>
      <c r="G114" s="9">
        <v>70.099999999999994</v>
      </c>
      <c r="H114" s="9">
        <v>81.599999999999994</v>
      </c>
      <c r="I114" s="9">
        <v>81</v>
      </c>
      <c r="J114" s="9">
        <v>70.599999999999994</v>
      </c>
      <c r="K114" s="9">
        <v>62.1</v>
      </c>
      <c r="L114" s="9">
        <v>52.4</v>
      </c>
      <c r="M114" s="9">
        <v>38.9</v>
      </c>
    </row>
    <row r="115" spans="1:17" ht="12.75" x14ac:dyDescent="0.2">
      <c r="A115" s="1">
        <v>2021</v>
      </c>
      <c r="B115" s="9">
        <v>38.4</v>
      </c>
      <c r="C115" s="9">
        <v>41.7</v>
      </c>
      <c r="D115" s="9">
        <v>48.7</v>
      </c>
      <c r="E115" s="9">
        <v>55.7</v>
      </c>
      <c r="F115" s="9">
        <v>62.9</v>
      </c>
      <c r="G115" s="9">
        <v>75.099999999999994</v>
      </c>
      <c r="H115" s="9">
        <v>74.7</v>
      </c>
      <c r="I115" s="9">
        <v>72.7</v>
      </c>
      <c r="J115" s="9">
        <v>67.599999999999994</v>
      </c>
      <c r="K115" s="9">
        <v>55.8</v>
      </c>
      <c r="L115" s="9">
        <v>48.9</v>
      </c>
      <c r="M115" s="9">
        <v>42.5</v>
      </c>
    </row>
    <row r="116" spans="1:17" ht="12.75" x14ac:dyDescent="0.2">
      <c r="A116" s="1">
        <v>2022</v>
      </c>
      <c r="B116" s="9">
        <v>38.5747</v>
      </c>
      <c r="C116" s="9">
        <v>38.427100000000003</v>
      </c>
      <c r="D116" s="9">
        <v>45.957599999999999</v>
      </c>
      <c r="E116" s="9">
        <v>55.802799999999998</v>
      </c>
      <c r="F116" s="9">
        <v>63.568399999999997</v>
      </c>
      <c r="G116" s="9">
        <v>72.348799999999997</v>
      </c>
      <c r="H116" s="9">
        <v>75.814300000000003</v>
      </c>
      <c r="I116" s="9">
        <v>72.886300000000006</v>
      </c>
      <c r="J116" s="9">
        <v>68.285499999999999</v>
      </c>
      <c r="K116" s="9">
        <v>55.224299999999999</v>
      </c>
      <c r="L116" s="9">
        <v>42.380800000000001</v>
      </c>
      <c r="M116" s="9">
        <v>41.625100000000003</v>
      </c>
      <c r="O116" s="9"/>
      <c r="P116" s="9"/>
      <c r="Q116" s="9"/>
    </row>
    <row r="117" spans="1:17" ht="12.75" x14ac:dyDescent="0.2">
      <c r="A117" s="1">
        <v>2023</v>
      </c>
      <c r="B117" s="1">
        <v>36.9</v>
      </c>
      <c r="C117" s="1">
        <v>39.299999999999997</v>
      </c>
      <c r="D117" s="1">
        <v>45.8</v>
      </c>
      <c r="E117" s="1">
        <v>55</v>
      </c>
      <c r="F117" s="1">
        <v>62.2</v>
      </c>
      <c r="G117" s="1">
        <v>69.5</v>
      </c>
      <c r="H117" s="1">
        <v>80.5</v>
      </c>
      <c r="I117" s="1">
        <v>77.2</v>
      </c>
      <c r="J117" s="1">
        <v>70.099999999999994</v>
      </c>
      <c r="K117" s="1">
        <v>60.1</v>
      </c>
      <c r="L117" s="1">
        <v>49.7</v>
      </c>
      <c r="M117" s="1">
        <v>41</v>
      </c>
    </row>
    <row r="118" spans="1:17" ht="12.75" x14ac:dyDescent="0.2">
      <c r="A118" s="1">
        <v>2024</v>
      </c>
      <c r="B118" s="1">
        <v>39</v>
      </c>
      <c r="C118" s="1">
        <v>43.8</v>
      </c>
      <c r="D118" s="1">
        <v>46.5</v>
      </c>
      <c r="E118" s="1">
        <v>54.4</v>
      </c>
      <c r="F118" s="1">
        <v>63.3</v>
      </c>
      <c r="G118" s="1">
        <v>75.7</v>
      </c>
      <c r="H118" s="1">
        <v>77.900000000000006</v>
      </c>
      <c r="I118" s="1">
        <v>77.400000000000006</v>
      </c>
      <c r="J118" s="1">
        <v>69.099999999999994</v>
      </c>
      <c r="K118" s="1">
        <v>62.5</v>
      </c>
      <c r="L118" s="1">
        <v>45.6</v>
      </c>
      <c r="M118" s="1">
        <v>44.4</v>
      </c>
    </row>
    <row r="119" spans="1:17" ht="12.75" x14ac:dyDescent="0.2">
      <c r="A119" s="2" t="s">
        <v>105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7" ht="12.75" x14ac:dyDescent="0.2">
      <c r="A120" s="1">
        <v>1968</v>
      </c>
      <c r="B120" s="6" t="s">
        <v>180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7" ht="12.75" x14ac:dyDescent="0.2">
      <c r="B121" s="6" t="s">
        <v>177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7" ht="12.75" x14ac:dyDescent="0.2">
      <c r="A122" s="1">
        <v>1969</v>
      </c>
      <c r="B122" s="1" t="s">
        <v>13</v>
      </c>
    </row>
    <row r="123" spans="1:17" ht="12.75" x14ac:dyDescent="0.2">
      <c r="A123" s="1">
        <v>1970</v>
      </c>
      <c r="B123" s="1" t="s">
        <v>13</v>
      </c>
    </row>
    <row r="124" spans="1:17" ht="12.75" x14ac:dyDescent="0.2">
      <c r="A124" s="1">
        <v>1971</v>
      </c>
      <c r="B124" s="1" t="s">
        <v>24</v>
      </c>
    </row>
    <row r="125" spans="1:17" ht="12.75" x14ac:dyDescent="0.2">
      <c r="A125" s="1">
        <v>1972</v>
      </c>
      <c r="B125" s="1" t="s">
        <v>13</v>
      </c>
    </row>
    <row r="126" spans="1:17" ht="12.75" x14ac:dyDescent="0.2">
      <c r="A126" s="1">
        <v>1973</v>
      </c>
      <c r="B126" s="1" t="s">
        <v>13</v>
      </c>
    </row>
    <row r="127" spans="1:17" ht="12.75" x14ac:dyDescent="0.2">
      <c r="A127" s="1">
        <v>1974</v>
      </c>
      <c r="B127" s="1" t="s">
        <v>13</v>
      </c>
    </row>
    <row r="128" spans="1:17" ht="12.75" x14ac:dyDescent="0.2">
      <c r="A128" s="1">
        <v>1975</v>
      </c>
      <c r="B128" s="6" t="s">
        <v>178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2.75" x14ac:dyDescent="0.2">
      <c r="B129" s="6" t="s">
        <v>179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2.75" x14ac:dyDescent="0.2">
      <c r="A130" s="1">
        <v>1976</v>
      </c>
      <c r="B130" s="6" t="s">
        <v>36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2.75" x14ac:dyDescent="0.2">
      <c r="A131" s="1">
        <v>1977</v>
      </c>
      <c r="B131" s="1" t="s">
        <v>40</v>
      </c>
    </row>
    <row r="132" spans="1:13" ht="12.75" x14ac:dyDescent="0.2">
      <c r="A132" s="1">
        <v>1978</v>
      </c>
      <c r="B132" s="1" t="s">
        <v>13</v>
      </c>
    </row>
    <row r="133" spans="1:13" ht="12.75" x14ac:dyDescent="0.2">
      <c r="A133" s="1">
        <v>1979</v>
      </c>
      <c r="B133" s="1" t="s">
        <v>13</v>
      </c>
    </row>
    <row r="134" spans="1:13" ht="12.75" x14ac:dyDescent="0.2">
      <c r="A134" s="1">
        <v>1980</v>
      </c>
      <c r="B134" s="1" t="s">
        <v>13</v>
      </c>
    </row>
    <row r="135" spans="1:13" ht="12.75" x14ac:dyDescent="0.2">
      <c r="A135" s="1">
        <v>1981</v>
      </c>
      <c r="B135" s="1" t="s">
        <v>13</v>
      </c>
    </row>
    <row r="136" spans="1:13" ht="12.75" x14ac:dyDescent="0.2">
      <c r="A136" s="1">
        <v>1982</v>
      </c>
      <c r="B136" s="1" t="s">
        <v>13</v>
      </c>
    </row>
    <row r="137" spans="1:13" ht="12.75" x14ac:dyDescent="0.2">
      <c r="A137" s="1">
        <v>1983</v>
      </c>
      <c r="B137" s="1" t="s">
        <v>13</v>
      </c>
    </row>
    <row r="138" spans="1:13" ht="12.75" x14ac:dyDescent="0.2">
      <c r="A138" s="1">
        <v>1984</v>
      </c>
      <c r="B138" s="1" t="s">
        <v>13</v>
      </c>
    </row>
    <row r="139" spans="1:13" ht="12.75" x14ac:dyDescent="0.2">
      <c r="A139" s="1">
        <v>1985</v>
      </c>
      <c r="B139" s="1" t="s">
        <v>13</v>
      </c>
    </row>
    <row r="140" spans="1:13" ht="12.75" x14ac:dyDescent="0.2">
      <c r="A140" s="1">
        <v>1986</v>
      </c>
      <c r="B140" s="1" t="s">
        <v>13</v>
      </c>
    </row>
    <row r="141" spans="1:13" ht="12.75" x14ac:dyDescent="0.2">
      <c r="A141" s="1">
        <v>1987</v>
      </c>
      <c r="B141" s="1" t="s">
        <v>13</v>
      </c>
    </row>
    <row r="142" spans="1:13" ht="12.75" x14ac:dyDescent="0.2">
      <c r="A142" s="1">
        <v>1988</v>
      </c>
      <c r="B142" s="1" t="s">
        <v>13</v>
      </c>
    </row>
    <row r="143" spans="1:13" ht="12.75" x14ac:dyDescent="0.2">
      <c r="A143" s="1">
        <v>1989</v>
      </c>
      <c r="B143" s="1" t="s">
        <v>13</v>
      </c>
    </row>
    <row r="144" spans="1:13" ht="12.75" x14ac:dyDescent="0.2">
      <c r="A144" s="1">
        <v>1990</v>
      </c>
      <c r="B144" s="1" t="s">
        <v>13</v>
      </c>
    </row>
    <row r="145" spans="1:13" ht="12.75" x14ac:dyDescent="0.2">
      <c r="A145" s="1">
        <v>1991</v>
      </c>
      <c r="B145" s="1" t="s">
        <v>13</v>
      </c>
    </row>
    <row r="146" spans="1:13" ht="12.75" x14ac:dyDescent="0.2">
      <c r="A146" s="1">
        <v>1992</v>
      </c>
      <c r="B146" s="1" t="s">
        <v>13</v>
      </c>
    </row>
    <row r="147" spans="1:13" ht="12.75" x14ac:dyDescent="0.2">
      <c r="A147" s="1">
        <v>1993</v>
      </c>
      <c r="B147" s="1" t="s">
        <v>13</v>
      </c>
    </row>
    <row r="148" spans="1:13" ht="12.75" x14ac:dyDescent="0.2">
      <c r="A148" s="1">
        <v>1994</v>
      </c>
      <c r="B148" s="1" t="s">
        <v>13</v>
      </c>
    </row>
    <row r="149" spans="1:13" ht="12.75" x14ac:dyDescent="0.2">
      <c r="A149" s="1">
        <v>1995</v>
      </c>
      <c r="B149" s="1" t="s">
        <v>13</v>
      </c>
    </row>
    <row r="150" spans="1:13" ht="12.75" x14ac:dyDescent="0.2">
      <c r="A150" s="1">
        <v>1996</v>
      </c>
      <c r="B150" s="1" t="s">
        <v>98</v>
      </c>
    </row>
    <row r="151" spans="1:13" ht="12.75" x14ac:dyDescent="0.2">
      <c r="A151" s="1">
        <v>1997</v>
      </c>
      <c r="B151" s="1" t="s">
        <v>13</v>
      </c>
    </row>
    <row r="152" spans="1:13" ht="12.75" x14ac:dyDescent="0.2">
      <c r="A152" s="1">
        <v>1998</v>
      </c>
      <c r="B152" s="6" t="s">
        <v>174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2.75" x14ac:dyDescent="0.2">
      <c r="A153" s="1">
        <v>1999</v>
      </c>
      <c r="B153" s="1" t="s">
        <v>173</v>
      </c>
    </row>
    <row r="154" spans="1:13" ht="12.75" x14ac:dyDescent="0.2">
      <c r="A154" s="1">
        <v>2000</v>
      </c>
      <c r="B154" s="1" t="s">
        <v>175</v>
      </c>
    </row>
    <row r="155" spans="1:13" ht="12.75" x14ac:dyDescent="0.2">
      <c r="B155" s="1" t="s">
        <v>176</v>
      </c>
    </row>
    <row r="156" spans="1:13" ht="12.75" x14ac:dyDescent="0.2">
      <c r="A156" s="1">
        <v>2001</v>
      </c>
      <c r="B156" s="1" t="s">
        <v>80</v>
      </c>
    </row>
    <row r="157" spans="1:13" ht="12.75" x14ac:dyDescent="0.2">
      <c r="A157" s="1">
        <v>2002</v>
      </c>
      <c r="B157" s="1" t="s">
        <v>81</v>
      </c>
    </row>
    <row r="158" spans="1:13" ht="12.75" x14ac:dyDescent="0.2">
      <c r="A158" s="1">
        <v>2003</v>
      </c>
      <c r="B158" s="1" t="s">
        <v>13</v>
      </c>
    </row>
    <row r="159" spans="1:13" ht="12.75" x14ac:dyDescent="0.2">
      <c r="A159" s="1">
        <v>2004</v>
      </c>
      <c r="B159" s="1" t="s">
        <v>72</v>
      </c>
    </row>
    <row r="160" spans="1:13" ht="12.75" x14ac:dyDescent="0.2">
      <c r="A160" s="1">
        <v>2005</v>
      </c>
      <c r="B160" s="1" t="s">
        <v>93</v>
      </c>
    </row>
    <row r="161" spans="1:2" ht="12.75" x14ac:dyDescent="0.2">
      <c r="A161" s="1">
        <v>2006</v>
      </c>
      <c r="B161" s="1" t="s">
        <v>13</v>
      </c>
    </row>
    <row r="162" spans="1:2" ht="12.75" x14ac:dyDescent="0.2">
      <c r="A162" s="1">
        <v>2007</v>
      </c>
      <c r="B162" s="1" t="s">
        <v>13</v>
      </c>
    </row>
    <row r="163" spans="1:2" ht="12.75" x14ac:dyDescent="0.2">
      <c r="A163" s="1">
        <v>2008</v>
      </c>
      <c r="B163" s="1" t="s">
        <v>13</v>
      </c>
    </row>
    <row r="164" spans="1:2" ht="12.75" x14ac:dyDescent="0.2">
      <c r="A164" s="1">
        <v>2009</v>
      </c>
      <c r="B164" s="1" t="s">
        <v>13</v>
      </c>
    </row>
    <row r="165" spans="1:2" ht="12.75" x14ac:dyDescent="0.2">
      <c r="A165" s="1">
        <v>2010</v>
      </c>
      <c r="B165" s="1" t="s">
        <v>13</v>
      </c>
    </row>
    <row r="166" spans="1:2" ht="12.75" x14ac:dyDescent="0.2">
      <c r="A166" s="1">
        <v>2011</v>
      </c>
      <c r="B166" s="1" t="s">
        <v>13</v>
      </c>
    </row>
    <row r="167" spans="1:2" ht="12.75" x14ac:dyDescent="0.2">
      <c r="A167" s="1">
        <v>2012</v>
      </c>
      <c r="B167" s="1" t="s">
        <v>13</v>
      </c>
    </row>
    <row r="168" spans="1:2" ht="12.75" x14ac:dyDescent="0.2">
      <c r="A168" s="1">
        <v>2013</v>
      </c>
      <c r="B168" s="1" t="s">
        <v>13</v>
      </c>
    </row>
    <row r="169" spans="1:2" ht="12.75" x14ac:dyDescent="0.2">
      <c r="A169" s="1">
        <v>2014</v>
      </c>
      <c r="B169" s="1" t="s">
        <v>13</v>
      </c>
    </row>
    <row r="170" spans="1:2" ht="12.75" x14ac:dyDescent="0.2">
      <c r="A170" s="1">
        <v>2015</v>
      </c>
      <c r="B170" s="1" t="s">
        <v>200</v>
      </c>
    </row>
    <row r="171" spans="1:2" ht="12.75" x14ac:dyDescent="0.2">
      <c r="A171" s="1">
        <v>2016</v>
      </c>
      <c r="B171" s="1" t="s">
        <v>13</v>
      </c>
    </row>
    <row r="172" spans="1:2" ht="12.75" x14ac:dyDescent="0.2">
      <c r="A172" s="1">
        <v>2017</v>
      </c>
      <c r="B172" s="1" t="s">
        <v>207</v>
      </c>
    </row>
    <row r="173" spans="1:2" ht="12.75" x14ac:dyDescent="0.2">
      <c r="A173" s="1">
        <v>2018</v>
      </c>
      <c r="B173" s="1" t="s">
        <v>13</v>
      </c>
    </row>
    <row r="174" spans="1:2" ht="12.75" x14ac:dyDescent="0.2">
      <c r="A174" s="1">
        <v>2019</v>
      </c>
      <c r="B174" s="1" t="s">
        <v>13</v>
      </c>
    </row>
    <row r="175" spans="1:2" ht="12.75" x14ac:dyDescent="0.2">
      <c r="A175" s="1">
        <v>2020</v>
      </c>
      <c r="B175" s="1" t="s">
        <v>13</v>
      </c>
    </row>
    <row r="176" spans="1:2" ht="12.75" x14ac:dyDescent="0.2">
      <c r="A176" s="1">
        <v>2021</v>
      </c>
      <c r="B176" s="1" t="s">
        <v>228</v>
      </c>
    </row>
    <row r="177" spans="1:12" ht="12.75" x14ac:dyDescent="0.2">
      <c r="A177" s="1">
        <v>2022</v>
      </c>
      <c r="B177" s="1" t="s">
        <v>228</v>
      </c>
    </row>
    <row r="178" spans="1:12" ht="12.75" x14ac:dyDescent="0.2">
      <c r="A178" s="1">
        <v>2023</v>
      </c>
      <c r="B178" s="1" t="s">
        <v>228</v>
      </c>
    </row>
    <row r="179" spans="1:12" ht="12.75" x14ac:dyDescent="0.2">
      <c r="A179" s="1">
        <v>2024</v>
      </c>
      <c r="B179" s="1" t="s">
        <v>228</v>
      </c>
    </row>
    <row r="180" spans="1:12" ht="12.75" x14ac:dyDescent="0.2">
      <c r="A180" s="2" t="s">
        <v>5</v>
      </c>
      <c r="C180" s="2"/>
      <c r="D180" s="2"/>
      <c r="E180" s="2" t="s">
        <v>136</v>
      </c>
      <c r="F180" s="2"/>
      <c r="G180" s="2"/>
      <c r="H180" s="2"/>
      <c r="I180" s="2"/>
      <c r="J180" s="2"/>
      <c r="K180" s="2"/>
      <c r="L180" s="2"/>
    </row>
    <row r="181" spans="1:12" ht="12.75" x14ac:dyDescent="0.2">
      <c r="A181" s="2"/>
      <c r="B181" s="1" t="s">
        <v>137</v>
      </c>
      <c r="C181" s="2"/>
      <c r="D181" s="2"/>
      <c r="E181" s="1" t="s">
        <v>137</v>
      </c>
      <c r="F181" s="2"/>
      <c r="G181" s="2"/>
      <c r="H181" s="1" t="s">
        <v>140</v>
      </c>
      <c r="I181" s="2"/>
      <c r="J181" s="2"/>
      <c r="K181" s="1" t="s">
        <v>140</v>
      </c>
      <c r="L181" s="2"/>
    </row>
    <row r="182" spans="1:12" ht="12.75" x14ac:dyDescent="0.2">
      <c r="B182" s="8" t="s">
        <v>139</v>
      </c>
      <c r="C182" s="8"/>
      <c r="E182" s="8" t="s">
        <v>138</v>
      </c>
      <c r="F182" s="8"/>
      <c r="H182" s="8" t="s">
        <v>138</v>
      </c>
      <c r="I182" s="8"/>
      <c r="K182" s="8" t="s">
        <v>139</v>
      </c>
      <c r="L182" s="8"/>
    </row>
    <row r="183" spans="1:12" ht="12.75" x14ac:dyDescent="0.2">
      <c r="A183" s="1">
        <v>1968</v>
      </c>
      <c r="B183" s="1">
        <v>4</v>
      </c>
      <c r="C183" s="1">
        <v>15</v>
      </c>
      <c r="E183" s="1">
        <v>5</v>
      </c>
      <c r="F183" s="1">
        <v>1</v>
      </c>
      <c r="H183" s="1">
        <v>10</v>
      </c>
      <c r="I183" s="1">
        <v>19</v>
      </c>
      <c r="K183" s="1">
        <v>11</v>
      </c>
      <c r="L183" s="1">
        <v>6</v>
      </c>
    </row>
    <row r="184" spans="1:12" ht="12.75" x14ac:dyDescent="0.2">
      <c r="A184" s="1">
        <v>1969</v>
      </c>
      <c r="B184" s="1">
        <v>3</v>
      </c>
      <c r="C184" s="1">
        <v>25</v>
      </c>
      <c r="E184" s="1">
        <v>4</v>
      </c>
      <c r="F184" s="1">
        <v>28</v>
      </c>
      <c r="H184" s="1">
        <v>10</v>
      </c>
      <c r="I184" s="1">
        <v>13</v>
      </c>
      <c r="K184" s="1">
        <v>10</v>
      </c>
      <c r="L184" s="1">
        <v>13</v>
      </c>
    </row>
    <row r="185" spans="1:12" ht="12.75" x14ac:dyDescent="0.2">
      <c r="A185" s="1">
        <v>1970</v>
      </c>
      <c r="B185" s="1">
        <v>5</v>
      </c>
      <c r="C185" s="1">
        <v>1</v>
      </c>
      <c r="E185" s="1">
        <v>5</v>
      </c>
      <c r="F185" s="1">
        <v>1</v>
      </c>
      <c r="H185" s="1">
        <v>10</v>
      </c>
      <c r="I185" s="1">
        <v>9</v>
      </c>
      <c r="K185" s="1">
        <v>10</v>
      </c>
      <c r="L185" s="1">
        <v>28</v>
      </c>
    </row>
    <row r="186" spans="1:12" ht="12.75" x14ac:dyDescent="0.2">
      <c r="A186" s="1">
        <v>1971</v>
      </c>
      <c r="B186" s="1">
        <v>4</v>
      </c>
      <c r="C186" s="1">
        <v>21</v>
      </c>
      <c r="E186" s="1">
        <v>5</v>
      </c>
      <c r="F186" s="1">
        <v>5</v>
      </c>
      <c r="H186" s="1">
        <v>10</v>
      </c>
      <c r="I186" s="1">
        <v>27</v>
      </c>
      <c r="K186" s="1">
        <v>10</v>
      </c>
      <c r="L186" s="1">
        <v>30</v>
      </c>
    </row>
    <row r="187" spans="1:12" ht="12.75" x14ac:dyDescent="0.2">
      <c r="A187" s="1">
        <v>1972</v>
      </c>
      <c r="B187" s="1">
        <v>4</v>
      </c>
      <c r="C187" s="1">
        <v>22</v>
      </c>
      <c r="E187" s="1">
        <v>5</v>
      </c>
      <c r="F187" s="1">
        <v>22</v>
      </c>
      <c r="H187" s="1">
        <v>10</v>
      </c>
      <c r="I187" s="1">
        <v>31</v>
      </c>
      <c r="K187" s="1">
        <v>11</v>
      </c>
      <c r="L187" s="1">
        <v>1</v>
      </c>
    </row>
    <row r="188" spans="1:12" ht="12.75" x14ac:dyDescent="0.2">
      <c r="A188" s="1">
        <v>1973</v>
      </c>
      <c r="B188" s="1">
        <v>4</v>
      </c>
      <c r="C188" s="1">
        <v>6</v>
      </c>
      <c r="E188" s="1">
        <v>4</v>
      </c>
      <c r="F188" s="1">
        <v>15</v>
      </c>
      <c r="H188" s="1">
        <v>10</v>
      </c>
      <c r="I188" s="1">
        <v>12</v>
      </c>
      <c r="K188" s="1">
        <v>11</v>
      </c>
      <c r="L188" s="1">
        <v>1</v>
      </c>
    </row>
    <row r="189" spans="1:12" ht="12.75" x14ac:dyDescent="0.2">
      <c r="A189" s="1">
        <v>1974</v>
      </c>
      <c r="B189" s="1">
        <v>4</v>
      </c>
      <c r="C189" s="1">
        <v>11</v>
      </c>
      <c r="E189" s="1">
        <v>5</v>
      </c>
      <c r="F189" s="1">
        <v>21</v>
      </c>
      <c r="H189" s="1">
        <v>10</v>
      </c>
      <c r="I189" s="1">
        <v>30</v>
      </c>
      <c r="K189" s="1">
        <v>11</v>
      </c>
      <c r="L189" s="1">
        <v>4</v>
      </c>
    </row>
    <row r="190" spans="1:12" ht="12.75" x14ac:dyDescent="0.2">
      <c r="A190" s="1">
        <v>1975</v>
      </c>
      <c r="B190" s="1">
        <v>5</v>
      </c>
      <c r="C190" s="1">
        <v>9</v>
      </c>
      <c r="E190" s="1">
        <v>5</v>
      </c>
      <c r="F190" s="1">
        <v>23</v>
      </c>
      <c r="H190" s="1">
        <v>10</v>
      </c>
      <c r="I190" s="1">
        <v>14</v>
      </c>
      <c r="K190" s="1">
        <v>10</v>
      </c>
      <c r="L190" s="1">
        <v>14</v>
      </c>
    </row>
    <row r="191" spans="1:12" ht="12.75" x14ac:dyDescent="0.2">
      <c r="A191" s="1">
        <v>1976</v>
      </c>
      <c r="B191" s="1">
        <v>4</v>
      </c>
      <c r="C191" s="1">
        <v>18</v>
      </c>
      <c r="E191" s="1">
        <v>4</v>
      </c>
      <c r="F191" s="1">
        <v>19</v>
      </c>
      <c r="H191" s="1">
        <v>10</v>
      </c>
      <c r="I191" s="1">
        <v>20</v>
      </c>
      <c r="K191" s="1">
        <v>10</v>
      </c>
      <c r="L191" s="1">
        <v>31</v>
      </c>
    </row>
    <row r="192" spans="1:12" ht="12.75" x14ac:dyDescent="0.2">
      <c r="A192" s="1">
        <v>1977</v>
      </c>
      <c r="B192" s="1">
        <v>4</v>
      </c>
      <c r="C192" s="1">
        <v>4</v>
      </c>
      <c r="E192" s="1">
        <v>5</v>
      </c>
      <c r="F192" s="1">
        <v>4</v>
      </c>
      <c r="H192" s="1">
        <v>10</v>
      </c>
      <c r="I192" s="1">
        <v>26</v>
      </c>
      <c r="K192" s="1">
        <v>11</v>
      </c>
      <c r="L192" s="1">
        <v>3</v>
      </c>
    </row>
    <row r="193" spans="1:12" ht="12.75" x14ac:dyDescent="0.2">
      <c r="A193" s="1">
        <v>1978</v>
      </c>
      <c r="B193" s="1">
        <v>4</v>
      </c>
      <c r="C193" s="1">
        <v>9</v>
      </c>
      <c r="E193" s="1">
        <v>4</v>
      </c>
      <c r="F193" s="1">
        <v>21</v>
      </c>
      <c r="H193" s="1">
        <v>11</v>
      </c>
      <c r="I193" s="1">
        <v>16</v>
      </c>
      <c r="K193" s="1">
        <v>11</v>
      </c>
      <c r="L193" s="1">
        <v>18</v>
      </c>
    </row>
    <row r="194" spans="1:12" ht="12.75" x14ac:dyDescent="0.2">
      <c r="A194" s="1">
        <v>1979</v>
      </c>
      <c r="B194" s="1">
        <v>4</v>
      </c>
      <c r="C194" s="1">
        <v>11</v>
      </c>
      <c r="E194" s="1">
        <v>5</v>
      </c>
      <c r="F194" s="1">
        <v>10</v>
      </c>
      <c r="H194" s="1">
        <v>10</v>
      </c>
      <c r="I194" s="1">
        <v>29</v>
      </c>
      <c r="K194" s="1">
        <v>10</v>
      </c>
      <c r="L194" s="1">
        <v>31</v>
      </c>
    </row>
    <row r="195" spans="1:12" ht="12.75" x14ac:dyDescent="0.2">
      <c r="A195" s="1">
        <v>1980</v>
      </c>
      <c r="B195" s="1">
        <v>4</v>
      </c>
      <c r="C195" s="1">
        <v>14</v>
      </c>
      <c r="E195" s="1">
        <v>4</v>
      </c>
      <c r="F195" s="1">
        <v>14</v>
      </c>
      <c r="H195" s="1">
        <v>10</v>
      </c>
      <c r="I195" s="1">
        <v>16</v>
      </c>
      <c r="K195" s="1">
        <v>10</v>
      </c>
      <c r="L195" s="1">
        <v>16</v>
      </c>
    </row>
    <row r="196" spans="1:12" ht="12.75" x14ac:dyDescent="0.2">
      <c r="A196" s="1">
        <v>1981</v>
      </c>
      <c r="B196" s="1">
        <v>3</v>
      </c>
      <c r="C196" s="1">
        <v>22</v>
      </c>
      <c r="E196" s="1">
        <v>4</v>
      </c>
      <c r="F196" s="1">
        <v>10</v>
      </c>
      <c r="H196" s="1">
        <v>10</v>
      </c>
      <c r="I196" s="1">
        <v>24</v>
      </c>
      <c r="K196" s="1">
        <v>11</v>
      </c>
      <c r="L196" s="1">
        <v>2</v>
      </c>
    </row>
    <row r="197" spans="1:12" ht="12.75" x14ac:dyDescent="0.2">
      <c r="A197" s="1">
        <v>1982</v>
      </c>
      <c r="B197" s="1">
        <v>4</v>
      </c>
      <c r="C197" s="1">
        <v>8</v>
      </c>
      <c r="E197" s="1">
        <v>4</v>
      </c>
      <c r="F197" s="1">
        <v>16</v>
      </c>
      <c r="H197" s="1">
        <v>10</v>
      </c>
      <c r="I197" s="1">
        <v>29</v>
      </c>
      <c r="K197" s="1">
        <v>11</v>
      </c>
      <c r="L197" s="1">
        <v>4</v>
      </c>
    </row>
    <row r="198" spans="1:12" ht="12.75" x14ac:dyDescent="0.2">
      <c r="A198" s="1">
        <v>1983</v>
      </c>
      <c r="B198" s="1">
        <v>4</v>
      </c>
      <c r="C198" s="1">
        <v>14</v>
      </c>
      <c r="E198" s="1">
        <v>4</v>
      </c>
      <c r="F198" s="1">
        <v>18</v>
      </c>
      <c r="H198" s="1">
        <v>11</v>
      </c>
      <c r="I198" s="1">
        <v>10</v>
      </c>
      <c r="K198" s="1">
        <v>11</v>
      </c>
      <c r="L198" s="1">
        <v>20</v>
      </c>
    </row>
    <row r="199" spans="1:12" ht="12.75" x14ac:dyDescent="0.2">
      <c r="A199" s="1">
        <v>1984</v>
      </c>
      <c r="B199" s="1">
        <v>4</v>
      </c>
      <c r="C199" s="1">
        <v>28</v>
      </c>
      <c r="E199" s="1">
        <v>4</v>
      </c>
      <c r="F199" s="1">
        <v>30</v>
      </c>
      <c r="H199" s="1">
        <v>10</v>
      </c>
      <c r="I199" s="1">
        <v>19</v>
      </c>
      <c r="K199" s="1">
        <v>11</v>
      </c>
      <c r="L199" s="1">
        <v>7</v>
      </c>
    </row>
    <row r="200" spans="1:12" ht="12.75" x14ac:dyDescent="0.2">
      <c r="A200" s="1">
        <v>1985</v>
      </c>
      <c r="B200" s="1">
        <v>3</v>
      </c>
      <c r="C200" s="1">
        <v>31</v>
      </c>
      <c r="E200" s="1">
        <v>4</v>
      </c>
      <c r="F200" s="1">
        <v>20</v>
      </c>
      <c r="H200" s="1">
        <v>11</v>
      </c>
      <c r="I200" s="1">
        <v>2</v>
      </c>
      <c r="K200" s="1">
        <v>11</v>
      </c>
      <c r="L200" s="1">
        <v>15</v>
      </c>
    </row>
    <row r="201" spans="1:12" ht="12.75" x14ac:dyDescent="0.2">
      <c r="A201" s="1">
        <v>1986</v>
      </c>
      <c r="B201" s="1">
        <v>4</v>
      </c>
      <c r="C201" s="1">
        <v>3</v>
      </c>
      <c r="E201" s="1">
        <v>4</v>
      </c>
      <c r="F201" s="1">
        <v>9</v>
      </c>
      <c r="H201" s="1">
        <v>10</v>
      </c>
      <c r="I201" s="1">
        <v>31</v>
      </c>
      <c r="K201" s="1">
        <v>11</v>
      </c>
      <c r="L201" s="1">
        <v>8</v>
      </c>
    </row>
    <row r="202" spans="1:12" ht="12.75" x14ac:dyDescent="0.2">
      <c r="A202" s="1">
        <v>1987</v>
      </c>
      <c r="B202" s="1">
        <v>3</v>
      </c>
      <c r="C202" s="1">
        <v>31</v>
      </c>
      <c r="E202" s="1">
        <v>4</v>
      </c>
      <c r="F202" s="1">
        <v>6</v>
      </c>
      <c r="H202" s="1">
        <v>11</v>
      </c>
      <c r="I202" s="1">
        <v>9</v>
      </c>
      <c r="K202" s="1">
        <v>11</v>
      </c>
      <c r="L202" s="1">
        <v>10</v>
      </c>
    </row>
    <row r="203" spans="1:12" ht="12.75" x14ac:dyDescent="0.2">
      <c r="A203" s="1">
        <v>1988</v>
      </c>
      <c r="B203" s="1">
        <v>4</v>
      </c>
      <c r="C203" s="1">
        <v>2</v>
      </c>
      <c r="E203" s="1">
        <v>5</v>
      </c>
      <c r="F203" s="1">
        <v>7</v>
      </c>
      <c r="H203" s="1">
        <v>11</v>
      </c>
      <c r="I203" s="1">
        <v>10</v>
      </c>
      <c r="K203" s="1">
        <v>11</v>
      </c>
      <c r="L203" s="1">
        <v>14</v>
      </c>
    </row>
    <row r="204" spans="1:12" ht="12.75" x14ac:dyDescent="0.2">
      <c r="A204" s="1">
        <v>1989</v>
      </c>
      <c r="B204" s="1">
        <v>3</v>
      </c>
      <c r="C204" s="1">
        <v>23</v>
      </c>
      <c r="E204" s="1">
        <v>4</v>
      </c>
      <c r="F204" s="1">
        <v>28</v>
      </c>
      <c r="H204" s="1">
        <v>10</v>
      </c>
      <c r="I204" s="1">
        <v>28</v>
      </c>
      <c r="K204" s="1">
        <v>10</v>
      </c>
      <c r="L204" s="1">
        <v>28</v>
      </c>
    </row>
    <row r="205" spans="1:12" ht="12.75" x14ac:dyDescent="0.2">
      <c r="A205" s="1">
        <v>1990</v>
      </c>
      <c r="B205" s="1">
        <v>3</v>
      </c>
      <c r="C205" s="1">
        <v>16</v>
      </c>
      <c r="E205" s="1">
        <v>4</v>
      </c>
      <c r="F205" s="1">
        <v>2</v>
      </c>
      <c r="H205" s="1">
        <v>10</v>
      </c>
      <c r="I205" s="1">
        <v>10</v>
      </c>
      <c r="K205" s="1">
        <v>11</v>
      </c>
      <c r="L205" s="1">
        <v>5</v>
      </c>
    </row>
    <row r="206" spans="1:12" ht="12.75" x14ac:dyDescent="0.2">
      <c r="A206" s="1">
        <v>1991</v>
      </c>
      <c r="B206" s="1">
        <v>5</v>
      </c>
      <c r="C206" s="1">
        <v>3</v>
      </c>
      <c r="E206" s="1">
        <v>5</v>
      </c>
      <c r="F206" s="1">
        <v>3</v>
      </c>
      <c r="H206" s="1">
        <v>10</v>
      </c>
      <c r="I206" s="1">
        <v>27</v>
      </c>
      <c r="K206" s="1">
        <v>10</v>
      </c>
      <c r="L206" s="1">
        <v>29</v>
      </c>
    </row>
    <row r="207" spans="1:12" ht="12.75" x14ac:dyDescent="0.2">
      <c r="A207" s="1">
        <v>1992</v>
      </c>
      <c r="B207" s="1">
        <v>3</v>
      </c>
      <c r="C207" s="1">
        <v>21</v>
      </c>
      <c r="E207" s="1">
        <v>3</v>
      </c>
      <c r="F207" s="1">
        <v>24</v>
      </c>
      <c r="H207" s="1">
        <v>11</v>
      </c>
      <c r="I207" s="1">
        <v>4</v>
      </c>
      <c r="K207" s="1">
        <v>11</v>
      </c>
      <c r="L207" s="1">
        <v>4</v>
      </c>
    </row>
    <row r="208" spans="1:12" ht="12.75" x14ac:dyDescent="0.2">
      <c r="A208" s="1">
        <v>1993</v>
      </c>
      <c r="B208" s="1">
        <v>3</v>
      </c>
      <c r="C208" s="1">
        <v>13</v>
      </c>
      <c r="E208" s="1">
        <v>4</v>
      </c>
      <c r="F208" s="1">
        <v>15</v>
      </c>
      <c r="H208" s="1">
        <v>10</v>
      </c>
      <c r="I208" s="1">
        <v>21</v>
      </c>
      <c r="K208" s="1">
        <v>10</v>
      </c>
      <c r="L208" s="1">
        <v>31</v>
      </c>
    </row>
    <row r="209" spans="1:12" ht="12.75" x14ac:dyDescent="0.2">
      <c r="A209" s="1">
        <v>1994</v>
      </c>
      <c r="B209" s="1">
        <v>4</v>
      </c>
      <c r="C209" s="1">
        <v>26</v>
      </c>
      <c r="E209" s="1">
        <v>5</v>
      </c>
      <c r="F209" s="1">
        <v>8</v>
      </c>
      <c r="H209" s="1">
        <v>10</v>
      </c>
      <c r="I209" s="1">
        <v>9</v>
      </c>
      <c r="K209" s="1">
        <v>11</v>
      </c>
      <c r="L209" s="1">
        <v>5</v>
      </c>
    </row>
    <row r="210" spans="1:12" ht="12.75" x14ac:dyDescent="0.2">
      <c r="A210" s="1">
        <v>1995</v>
      </c>
      <c r="B210" s="1">
        <v>4</v>
      </c>
      <c r="C210" s="1">
        <v>20</v>
      </c>
      <c r="E210" s="1">
        <v>5</v>
      </c>
      <c r="F210" s="1">
        <v>8</v>
      </c>
      <c r="H210" s="1">
        <v>11</v>
      </c>
      <c r="I210" s="1">
        <v>9</v>
      </c>
      <c r="K210" s="1">
        <v>11</v>
      </c>
      <c r="L210" s="1">
        <v>26</v>
      </c>
    </row>
    <row r="211" spans="1:12" ht="12.75" x14ac:dyDescent="0.2">
      <c r="A211" s="1">
        <v>1996</v>
      </c>
      <c r="B211" s="1">
        <v>4</v>
      </c>
      <c r="C211" s="1">
        <v>19</v>
      </c>
      <c r="E211" s="1">
        <v>5</v>
      </c>
      <c r="F211" s="1">
        <v>2</v>
      </c>
      <c r="H211" s="1">
        <v>10</v>
      </c>
      <c r="I211" s="1">
        <v>22</v>
      </c>
      <c r="K211" s="1">
        <v>10</v>
      </c>
      <c r="L211" s="1">
        <v>22</v>
      </c>
    </row>
    <row r="212" spans="1:12" ht="12.75" x14ac:dyDescent="0.2">
      <c r="A212" s="1">
        <v>1997</v>
      </c>
      <c r="B212" s="1">
        <v>4</v>
      </c>
      <c r="C212" s="1">
        <v>11</v>
      </c>
      <c r="E212" s="1">
        <v>4</v>
      </c>
      <c r="F212" s="1">
        <v>14</v>
      </c>
      <c r="H212" s="1">
        <v>10</v>
      </c>
      <c r="I212" s="1">
        <v>13</v>
      </c>
      <c r="K212" s="1">
        <v>10</v>
      </c>
      <c r="L212" s="1">
        <v>14</v>
      </c>
    </row>
    <row r="213" spans="1:12" ht="12.75" x14ac:dyDescent="0.2">
      <c r="A213" s="1">
        <v>1998</v>
      </c>
      <c r="B213" s="1">
        <v>5</v>
      </c>
      <c r="C213" s="1">
        <v>16</v>
      </c>
      <c r="E213" s="1">
        <v>5</v>
      </c>
      <c r="F213" s="1">
        <v>16</v>
      </c>
      <c r="H213" s="1">
        <v>10</v>
      </c>
      <c r="I213" s="1">
        <v>2</v>
      </c>
      <c r="K213" s="1">
        <v>10</v>
      </c>
      <c r="L213" s="1">
        <v>6</v>
      </c>
    </row>
    <row r="214" spans="1:12" ht="12.75" x14ac:dyDescent="0.2">
      <c r="A214" s="1">
        <v>1999</v>
      </c>
      <c r="B214" s="1">
        <v>5</v>
      </c>
      <c r="C214" s="1">
        <v>2</v>
      </c>
      <c r="E214" s="1">
        <v>5</v>
      </c>
      <c r="F214" s="1">
        <v>3</v>
      </c>
      <c r="H214" s="1">
        <v>10</v>
      </c>
      <c r="I214" s="1">
        <v>18</v>
      </c>
      <c r="K214" s="1">
        <v>10</v>
      </c>
      <c r="L214" s="1">
        <v>18</v>
      </c>
    </row>
    <row r="215" spans="1:12" ht="12.75" x14ac:dyDescent="0.2">
      <c r="A215" s="1">
        <v>2000</v>
      </c>
      <c r="B215" s="1">
        <v>4</v>
      </c>
      <c r="C215" s="1">
        <v>1</v>
      </c>
      <c r="E215" s="1">
        <v>4</v>
      </c>
      <c r="F215" s="1">
        <v>3</v>
      </c>
      <c r="H215" s="1">
        <v>10</v>
      </c>
      <c r="I215" s="1">
        <v>26</v>
      </c>
      <c r="K215" s="1">
        <v>11</v>
      </c>
      <c r="L215" s="1">
        <v>3</v>
      </c>
    </row>
    <row r="216" spans="1:12" ht="12.75" x14ac:dyDescent="0.2">
      <c r="A216" s="1">
        <v>2001</v>
      </c>
      <c r="B216" s="1">
        <v>4</v>
      </c>
      <c r="C216" s="1">
        <v>20</v>
      </c>
      <c r="E216" s="1">
        <v>5</v>
      </c>
      <c r="F216" s="1">
        <v>3</v>
      </c>
      <c r="H216" s="1">
        <v>10</v>
      </c>
      <c r="I216" s="1">
        <v>26</v>
      </c>
      <c r="K216" s="1">
        <v>11</v>
      </c>
      <c r="L216" s="1">
        <v>3</v>
      </c>
    </row>
    <row r="217" spans="1:12" ht="12.75" x14ac:dyDescent="0.2">
      <c r="A217" s="1">
        <v>2002</v>
      </c>
      <c r="B217" s="1">
        <v>4</v>
      </c>
      <c r="C217" s="1">
        <v>21</v>
      </c>
      <c r="E217" s="1">
        <v>5</v>
      </c>
      <c r="F217" s="1">
        <v>8</v>
      </c>
      <c r="H217" s="1">
        <v>10</v>
      </c>
      <c r="I217" s="1">
        <v>4</v>
      </c>
      <c r="K217" s="1">
        <v>10</v>
      </c>
      <c r="L217" s="1">
        <v>29</v>
      </c>
    </row>
    <row r="218" spans="1:12" ht="12.75" x14ac:dyDescent="0.2">
      <c r="A218" s="1">
        <v>2003</v>
      </c>
      <c r="B218" s="1">
        <v>4</v>
      </c>
      <c r="C218" s="1">
        <v>20</v>
      </c>
      <c r="E218" s="1">
        <v>5</v>
      </c>
      <c r="F218" s="1">
        <v>11</v>
      </c>
      <c r="H218" s="1">
        <v>10</v>
      </c>
      <c r="I218" s="1">
        <v>26</v>
      </c>
      <c r="K218" s="1">
        <v>10</v>
      </c>
      <c r="L218" s="1">
        <v>27</v>
      </c>
    </row>
    <row r="219" spans="1:12" ht="12.75" x14ac:dyDescent="0.2">
      <c r="A219" s="1">
        <v>2004</v>
      </c>
      <c r="B219" s="1">
        <v>3</v>
      </c>
      <c r="C219" s="1">
        <v>6</v>
      </c>
      <c r="E219" s="1">
        <v>4</v>
      </c>
      <c r="F219" s="1">
        <v>30</v>
      </c>
      <c r="H219" s="1">
        <v>10</v>
      </c>
      <c r="I219" s="1">
        <v>19</v>
      </c>
      <c r="K219" s="1">
        <v>10</v>
      </c>
      <c r="L219" s="1">
        <v>23</v>
      </c>
    </row>
    <row r="220" spans="1:12" ht="12.75" x14ac:dyDescent="0.2">
      <c r="A220" s="1">
        <v>2005</v>
      </c>
      <c r="B220" s="1">
        <v>4</v>
      </c>
      <c r="C220" s="1">
        <v>20</v>
      </c>
      <c r="E220" s="1">
        <v>5</v>
      </c>
      <c r="F220" s="1">
        <v>13</v>
      </c>
      <c r="H220" s="1">
        <v>10</v>
      </c>
      <c r="I220" s="1">
        <v>25</v>
      </c>
      <c r="K220" s="1">
        <v>11</v>
      </c>
      <c r="L220" s="1">
        <v>3</v>
      </c>
    </row>
    <row r="221" spans="1:12" ht="12.75" x14ac:dyDescent="0.2">
      <c r="A221" s="1">
        <v>2006</v>
      </c>
      <c r="B221" s="1">
        <v>4</v>
      </c>
      <c r="C221" s="1">
        <v>8</v>
      </c>
      <c r="E221" s="1">
        <v>4</v>
      </c>
      <c r="F221" s="1">
        <v>26</v>
      </c>
      <c r="H221" s="1">
        <v>10</v>
      </c>
      <c r="I221" s="1">
        <v>28</v>
      </c>
      <c r="K221" s="1">
        <v>11</v>
      </c>
      <c r="L221" s="1">
        <v>1</v>
      </c>
    </row>
    <row r="222" spans="1:12" ht="12.75" x14ac:dyDescent="0.2">
      <c r="A222" s="1">
        <v>2007</v>
      </c>
      <c r="B222" s="1">
        <v>4</v>
      </c>
      <c r="C222" s="1">
        <v>23</v>
      </c>
      <c r="E222" s="1">
        <v>4</v>
      </c>
      <c r="F222" s="1">
        <v>24</v>
      </c>
      <c r="H222" s="1">
        <v>10</v>
      </c>
      <c r="I222" s="1">
        <v>16</v>
      </c>
      <c r="K222" s="1">
        <v>10</v>
      </c>
      <c r="L222" s="1">
        <v>23</v>
      </c>
    </row>
    <row r="223" spans="1:12" ht="12.75" x14ac:dyDescent="0.2">
      <c r="A223" s="1">
        <v>2008</v>
      </c>
      <c r="B223" s="1">
        <v>4</v>
      </c>
      <c r="C223" s="1">
        <v>28</v>
      </c>
      <c r="E223" s="1">
        <v>4</v>
      </c>
      <c r="F223" s="1">
        <v>30</v>
      </c>
      <c r="H223" s="1">
        <v>10</v>
      </c>
      <c r="I223" s="1">
        <v>13</v>
      </c>
      <c r="K223" s="1">
        <v>10</v>
      </c>
      <c r="L223" s="1">
        <v>23</v>
      </c>
    </row>
    <row r="224" spans="1:12" ht="12.75" x14ac:dyDescent="0.2">
      <c r="A224" s="1">
        <v>2009</v>
      </c>
      <c r="B224" s="1">
        <v>4</v>
      </c>
      <c r="C224" s="1">
        <v>18</v>
      </c>
      <c r="E224" s="1">
        <v>4</v>
      </c>
      <c r="F224" s="1">
        <v>28</v>
      </c>
      <c r="H224" s="1">
        <v>10</v>
      </c>
      <c r="I224" s="1">
        <v>9</v>
      </c>
      <c r="K224" s="1">
        <v>10</v>
      </c>
      <c r="L224" s="1">
        <v>27</v>
      </c>
    </row>
    <row r="225" spans="1:17" ht="12.75" x14ac:dyDescent="0.2">
      <c r="A225" s="1">
        <v>2010</v>
      </c>
      <c r="B225" s="1">
        <v>4</v>
      </c>
      <c r="C225" s="1">
        <v>30</v>
      </c>
      <c r="E225" s="1">
        <v>5</v>
      </c>
      <c r="F225" s="1">
        <v>25</v>
      </c>
      <c r="H225" s="1">
        <v>10</v>
      </c>
      <c r="I225" s="1">
        <v>24</v>
      </c>
      <c r="K225" s="1">
        <v>11</v>
      </c>
      <c r="L225" s="1">
        <v>7</v>
      </c>
    </row>
    <row r="226" spans="1:17" ht="12.75" x14ac:dyDescent="0.2">
      <c r="A226" s="1">
        <v>2011</v>
      </c>
      <c r="B226" s="1">
        <v>4</v>
      </c>
      <c r="C226" s="1">
        <v>12</v>
      </c>
      <c r="E226" s="1">
        <v>5</v>
      </c>
      <c r="F226" s="1">
        <v>11</v>
      </c>
      <c r="H226" s="1">
        <v>10</v>
      </c>
      <c r="I226" s="1">
        <v>8</v>
      </c>
      <c r="K226" s="1">
        <v>11</v>
      </c>
      <c r="L226" s="1">
        <v>3</v>
      </c>
    </row>
    <row r="227" spans="1:17" ht="12.75" x14ac:dyDescent="0.2">
      <c r="A227" s="1">
        <v>2012</v>
      </c>
      <c r="B227" s="1">
        <v>4</v>
      </c>
      <c r="C227" s="1">
        <v>16</v>
      </c>
      <c r="E227" s="1">
        <v>4</v>
      </c>
      <c r="F227" s="1">
        <v>16</v>
      </c>
      <c r="H227" s="1">
        <v>10</v>
      </c>
      <c r="I227" s="1">
        <v>27</v>
      </c>
      <c r="K227" s="1">
        <v>10</v>
      </c>
      <c r="L227" s="1">
        <v>27</v>
      </c>
    </row>
    <row r="228" spans="1:17" ht="12.75" x14ac:dyDescent="0.2">
      <c r="A228" s="1">
        <v>2013</v>
      </c>
      <c r="B228" s="1">
        <v>4</v>
      </c>
      <c r="C228" s="1">
        <v>20</v>
      </c>
      <c r="E228" s="1">
        <v>4</v>
      </c>
      <c r="F228" s="1">
        <v>20</v>
      </c>
      <c r="H228" s="1">
        <v>10</v>
      </c>
      <c r="I228" s="1">
        <v>16</v>
      </c>
      <c r="K228" s="1">
        <v>11</v>
      </c>
      <c r="L228" s="1">
        <v>5</v>
      </c>
    </row>
    <row r="229" spans="1:17" ht="12.75" x14ac:dyDescent="0.2">
      <c r="A229" s="1">
        <v>2014</v>
      </c>
      <c r="B229" s="1">
        <v>4</v>
      </c>
      <c r="C229" s="1">
        <v>15</v>
      </c>
      <c r="E229" s="1">
        <v>4</v>
      </c>
      <c r="F229" s="1">
        <v>28</v>
      </c>
      <c r="H229" s="1">
        <v>10</v>
      </c>
      <c r="I229" s="1">
        <v>14</v>
      </c>
      <c r="K229" s="1">
        <v>11</v>
      </c>
      <c r="L229" s="1">
        <v>18</v>
      </c>
    </row>
    <row r="230" spans="1:17" ht="12.75" x14ac:dyDescent="0.2">
      <c r="A230" s="1">
        <v>2015</v>
      </c>
      <c r="B230" s="1">
        <v>4</v>
      </c>
      <c r="C230" s="1">
        <v>17</v>
      </c>
      <c r="E230" s="1">
        <v>4</v>
      </c>
      <c r="F230" s="1">
        <v>23</v>
      </c>
      <c r="H230" s="1">
        <v>11</v>
      </c>
      <c r="I230" s="1">
        <v>1</v>
      </c>
      <c r="K230" s="1">
        <v>11</v>
      </c>
      <c r="L230" s="1">
        <v>12</v>
      </c>
      <c r="N230" s="10"/>
      <c r="Q230" s="10"/>
    </row>
    <row r="231" spans="1:17" ht="12.75" x14ac:dyDescent="0.2">
      <c r="A231" s="1">
        <v>2016</v>
      </c>
      <c r="B231" s="1">
        <v>4</v>
      </c>
      <c r="C231" s="1">
        <v>3</v>
      </c>
      <c r="E231" s="1">
        <v>5</v>
      </c>
      <c r="F231" s="1">
        <v>8</v>
      </c>
      <c r="H231" s="1">
        <v>11</v>
      </c>
      <c r="I231" s="1">
        <v>9</v>
      </c>
      <c r="K231" s="1">
        <v>11</v>
      </c>
      <c r="L231" s="1">
        <v>18</v>
      </c>
      <c r="N231" s="10"/>
      <c r="Q231" s="10"/>
    </row>
    <row r="232" spans="1:17" ht="12.75" x14ac:dyDescent="0.2">
      <c r="A232" s="1">
        <v>2017</v>
      </c>
      <c r="B232" s="1">
        <v>2</v>
      </c>
      <c r="C232" s="1">
        <v>28</v>
      </c>
      <c r="E232" s="1">
        <v>5</v>
      </c>
      <c r="F232" s="1">
        <v>17</v>
      </c>
      <c r="H232" s="1">
        <v>11</v>
      </c>
      <c r="I232" s="1">
        <v>1</v>
      </c>
      <c r="K232" s="1">
        <v>11</v>
      </c>
      <c r="L232" s="1">
        <v>20</v>
      </c>
    </row>
    <row r="233" spans="1:17" ht="12.75" x14ac:dyDescent="0.2">
      <c r="A233" s="1">
        <v>2018</v>
      </c>
      <c r="B233" s="1">
        <v>5</v>
      </c>
      <c r="C233" s="1">
        <v>5</v>
      </c>
      <c r="E233" s="1">
        <v>5</v>
      </c>
      <c r="F233" s="1">
        <v>5</v>
      </c>
      <c r="H233" s="1">
        <v>10</v>
      </c>
      <c r="I233" s="1">
        <v>10</v>
      </c>
      <c r="K233" s="1">
        <v>11</v>
      </c>
      <c r="L233" s="1">
        <v>11</v>
      </c>
    </row>
    <row r="234" spans="1:17" ht="12.75" x14ac:dyDescent="0.2">
      <c r="A234" s="1">
        <v>2019</v>
      </c>
      <c r="B234" s="1">
        <v>4</v>
      </c>
      <c r="C234" s="1">
        <v>14</v>
      </c>
      <c r="E234" s="1">
        <v>5</v>
      </c>
      <c r="F234" s="1">
        <v>23</v>
      </c>
      <c r="H234" s="1">
        <v>10</v>
      </c>
      <c r="I234" s="1">
        <v>20</v>
      </c>
      <c r="K234" s="1">
        <v>10</v>
      </c>
      <c r="L234" s="1">
        <v>20</v>
      </c>
    </row>
    <row r="235" spans="1:17" ht="12.75" x14ac:dyDescent="0.2">
      <c r="A235" s="1">
        <v>2020</v>
      </c>
      <c r="B235" s="1">
        <v>4</v>
      </c>
      <c r="C235" s="1">
        <v>16</v>
      </c>
      <c r="E235" s="1">
        <v>4</v>
      </c>
      <c r="F235" s="1">
        <v>22</v>
      </c>
      <c r="H235" s="1">
        <v>10</v>
      </c>
      <c r="I235" s="1">
        <v>27</v>
      </c>
      <c r="K235" s="1">
        <v>10</v>
      </c>
      <c r="L235" s="1">
        <v>28</v>
      </c>
    </row>
    <row r="236" spans="1:17" ht="12.75" x14ac:dyDescent="0.2">
      <c r="A236" s="1">
        <v>2021</v>
      </c>
      <c r="B236" s="1">
        <v>3</v>
      </c>
      <c r="C236" s="1">
        <v>27</v>
      </c>
      <c r="E236" s="1">
        <v>3</v>
      </c>
      <c r="F236" s="1">
        <v>31</v>
      </c>
      <c r="H236" s="1">
        <v>10</v>
      </c>
      <c r="I236" s="1">
        <v>13</v>
      </c>
      <c r="K236" s="1">
        <v>10</v>
      </c>
      <c r="L236" s="1">
        <v>13</v>
      </c>
    </row>
    <row r="237" spans="1:17" ht="12.75" x14ac:dyDescent="0.2">
      <c r="A237" s="1">
        <v>2022</v>
      </c>
      <c r="B237" s="1">
        <v>4</v>
      </c>
      <c r="C237" s="1">
        <v>13</v>
      </c>
      <c r="E237" s="1">
        <v>4</v>
      </c>
      <c r="F237" s="1">
        <v>14</v>
      </c>
      <c r="H237" s="1">
        <v>10</v>
      </c>
      <c r="I237" s="1">
        <v>24</v>
      </c>
      <c r="K237" s="1">
        <v>10</v>
      </c>
      <c r="L237" s="1">
        <v>24</v>
      </c>
    </row>
    <row r="238" spans="1:17" ht="12.75" x14ac:dyDescent="0.2">
      <c r="A238" s="1">
        <v>2023</v>
      </c>
      <c r="B238" s="1">
        <v>4</v>
      </c>
      <c r="C238" s="1">
        <v>6</v>
      </c>
      <c r="E238" s="1">
        <v>4</v>
      </c>
      <c r="F238" s="1">
        <v>20</v>
      </c>
      <c r="H238" s="1">
        <v>10</v>
      </c>
      <c r="I238" s="1">
        <v>29</v>
      </c>
      <c r="K238" s="1">
        <v>10</v>
      </c>
      <c r="L238" s="1">
        <v>30</v>
      </c>
    </row>
    <row r="239" spans="1:17" ht="12.75" x14ac:dyDescent="0.2">
      <c r="A239" s="1">
        <v>2024</v>
      </c>
      <c r="B239" s="1">
        <v>4</v>
      </c>
      <c r="C239" s="1">
        <v>7</v>
      </c>
      <c r="E239" s="1">
        <v>4</v>
      </c>
      <c r="F239" s="1">
        <v>10</v>
      </c>
      <c r="H239" s="1">
        <v>10</v>
      </c>
      <c r="I239" s="1">
        <v>30</v>
      </c>
      <c r="K239" s="1">
        <v>10</v>
      </c>
      <c r="L239" s="1">
        <v>30</v>
      </c>
    </row>
    <row r="240" spans="1:17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</sheetData>
  <sheetProtection algorithmName="SHA-512" hashValue="jqBfbjse/m4TIUlJ4If2byrguhht5jVVrBW5p49KvSebmnRgkwn3QtHH2QxKmY2ATEqgEr6bdtRljB4karLWQQ==" saltValue="0pObIZv7ERx0DGvzHLK23w==" spinCount="100000" sheet="1" objects="1" scenarios="1"/>
  <phoneticPr fontId="0" type="noConversion"/>
  <printOptions horizontalCentered="1" gridLines="1"/>
  <pageMargins left="0.75" right="0.75" top="1" bottom="0.75" header="0.5" footer="0.5"/>
  <pageSetup scale="95" fitToHeight="4" orientation="portrait" r:id="rId1"/>
  <headerFooter alignWithMargins="0">
    <oddFooter>&amp;R&amp;9glenwood-mule crk</oddFooter>
  </headerFooter>
  <rowBreaks count="3" manualBreakCount="3">
    <brk id="59" max="12" man="1"/>
    <brk id="118" max="12" man="1"/>
    <brk id="179" max="1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40"/>
  <sheetViews>
    <sheetView zoomScaleNormal="100" workbookViewId="0">
      <selection sqref="A1:XFD1"/>
    </sheetView>
  </sheetViews>
  <sheetFormatPr defaultColWidth="8.88671875" defaultRowHeight="15" customHeight="1" x14ac:dyDescent="0.2"/>
  <cols>
    <col min="1" max="13" width="6" style="1" customWidth="1"/>
    <col min="14" max="16384" width="8.88671875" style="1"/>
  </cols>
  <sheetData>
    <row r="1" spans="1:13" ht="15" customHeight="1" x14ac:dyDescent="0.2">
      <c r="A1" s="2" t="s">
        <v>6</v>
      </c>
      <c r="B1" s="2"/>
      <c r="C1" s="2" t="s">
        <v>1</v>
      </c>
      <c r="D1" s="2"/>
      <c r="E1" s="2"/>
      <c r="F1" s="2"/>
      <c r="G1" s="2"/>
      <c r="H1" s="2"/>
      <c r="I1" s="13"/>
      <c r="J1" s="2"/>
      <c r="K1" s="2"/>
      <c r="L1" s="2"/>
      <c r="M1" s="2"/>
    </row>
    <row r="2" spans="1:13" ht="15" customHeight="1" x14ac:dyDescent="0.2">
      <c r="A2" s="2"/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</row>
    <row r="3" spans="1:13" ht="15" customHeight="1" x14ac:dyDescent="0.2">
      <c r="A3" s="1">
        <v>1968</v>
      </c>
      <c r="B3" s="4">
        <v>0.65</v>
      </c>
      <c r="C3" s="4">
        <v>1.1499999999999999</v>
      </c>
      <c r="D3" s="4">
        <v>1.27</v>
      </c>
      <c r="E3" s="4">
        <v>0.31</v>
      </c>
      <c r="F3" s="4">
        <v>0.11</v>
      </c>
      <c r="G3" s="4">
        <v>0</v>
      </c>
      <c r="H3" s="4">
        <v>4.3499999999999996</v>
      </c>
      <c r="I3" s="4">
        <v>2.2599999999999998</v>
      </c>
      <c r="J3" s="4">
        <v>0.87</v>
      </c>
      <c r="K3" s="4">
        <v>7.0000000000000007E-2</v>
      </c>
      <c r="L3" s="4">
        <v>0.66</v>
      </c>
      <c r="M3" s="4">
        <v>1.18</v>
      </c>
    </row>
    <row r="4" spans="1:13" ht="15" customHeight="1" x14ac:dyDescent="0.2">
      <c r="A4" s="1">
        <v>1969</v>
      </c>
      <c r="B4" s="4">
        <v>0.3</v>
      </c>
      <c r="C4" s="4">
        <v>0.28000000000000003</v>
      </c>
      <c r="D4" s="4">
        <v>0.42</v>
      </c>
      <c r="E4" s="4">
        <v>0.39</v>
      </c>
      <c r="F4" s="4">
        <v>0.72</v>
      </c>
      <c r="G4" s="4">
        <v>0.12</v>
      </c>
      <c r="H4" s="4">
        <v>2.77</v>
      </c>
      <c r="I4" s="4">
        <v>1.65</v>
      </c>
      <c r="J4" s="4">
        <v>1.97</v>
      </c>
      <c r="K4" s="4">
        <v>1.62</v>
      </c>
      <c r="L4" s="4">
        <v>0.4</v>
      </c>
      <c r="M4" s="4">
        <v>1.21</v>
      </c>
    </row>
    <row r="5" spans="1:13" ht="15" customHeight="1" x14ac:dyDescent="0.2">
      <c r="A5" s="1">
        <v>1970</v>
      </c>
      <c r="B5" s="4">
        <v>0.02</v>
      </c>
      <c r="C5" s="4">
        <v>1.1499999999999999</v>
      </c>
      <c r="D5" s="4">
        <v>1.1000000000000001</v>
      </c>
      <c r="E5" s="4">
        <v>1.48</v>
      </c>
      <c r="F5" s="4">
        <v>0.11</v>
      </c>
      <c r="G5" s="4">
        <v>0.68</v>
      </c>
      <c r="H5" s="4">
        <v>3.84</v>
      </c>
      <c r="I5" s="4">
        <v>1.88</v>
      </c>
      <c r="J5" s="4">
        <v>0.71</v>
      </c>
      <c r="K5" s="4">
        <v>1.86</v>
      </c>
      <c r="L5" s="4">
        <v>0</v>
      </c>
      <c r="M5" s="4">
        <v>0.44</v>
      </c>
    </row>
    <row r="6" spans="1:13" ht="15" customHeight="1" x14ac:dyDescent="0.2">
      <c r="A6" s="1">
        <v>1971</v>
      </c>
      <c r="B6" s="4">
        <v>0.45</v>
      </c>
      <c r="C6" s="4">
        <v>0.05</v>
      </c>
      <c r="D6" s="4">
        <v>0</v>
      </c>
      <c r="E6" s="4">
        <v>0.34</v>
      </c>
      <c r="F6" s="4">
        <v>0.44</v>
      </c>
      <c r="G6" s="4">
        <v>0.04</v>
      </c>
      <c r="H6" s="4">
        <v>1.72</v>
      </c>
      <c r="I6" s="4">
        <v>4.54</v>
      </c>
      <c r="J6" s="4">
        <v>1.22</v>
      </c>
      <c r="K6" s="4">
        <v>4.32</v>
      </c>
      <c r="L6" s="4">
        <v>0.67</v>
      </c>
      <c r="M6" s="4">
        <v>1.91</v>
      </c>
    </row>
    <row r="7" spans="1:13" ht="15" customHeight="1" x14ac:dyDescent="0.2">
      <c r="A7" s="1">
        <v>1972</v>
      </c>
      <c r="B7" s="4">
        <v>0.16</v>
      </c>
      <c r="C7" s="4">
        <v>0.02</v>
      </c>
      <c r="D7" s="4">
        <v>0.1</v>
      </c>
      <c r="E7" s="4">
        <v>0</v>
      </c>
      <c r="F7" s="4">
        <v>0.38</v>
      </c>
      <c r="G7" s="4">
        <v>1.5</v>
      </c>
      <c r="H7" s="4">
        <v>2.4300000000000002</v>
      </c>
      <c r="I7" s="4">
        <v>4.42</v>
      </c>
      <c r="J7" s="4">
        <v>2.84</v>
      </c>
      <c r="K7" s="4">
        <v>5.69</v>
      </c>
      <c r="L7" s="4">
        <v>0.63</v>
      </c>
      <c r="M7" s="4">
        <v>1.21</v>
      </c>
    </row>
    <row r="8" spans="1:13" ht="15" customHeight="1" x14ac:dyDescent="0.2">
      <c r="A8" s="1">
        <v>1973</v>
      </c>
      <c r="B8" s="4">
        <v>0.72</v>
      </c>
      <c r="C8" s="4">
        <v>2.57</v>
      </c>
      <c r="D8" s="4">
        <v>1.56</v>
      </c>
      <c r="E8" s="4">
        <v>7.0000000000000007E-2</v>
      </c>
      <c r="F8" s="4">
        <v>1.99</v>
      </c>
      <c r="G8" s="4">
        <v>0.4</v>
      </c>
      <c r="H8" s="4">
        <v>3.47</v>
      </c>
      <c r="I8" s="4">
        <v>0.7</v>
      </c>
      <c r="J8" s="4">
        <v>0.15</v>
      </c>
      <c r="K8" s="4">
        <v>0</v>
      </c>
      <c r="L8" s="4">
        <v>0.31</v>
      </c>
      <c r="M8" s="4">
        <v>0</v>
      </c>
    </row>
    <row r="9" spans="1:13" ht="15" customHeight="1" x14ac:dyDescent="0.2">
      <c r="A9" s="1">
        <v>1974</v>
      </c>
      <c r="B9" s="4">
        <v>0.89</v>
      </c>
      <c r="C9" s="4">
        <v>0.09</v>
      </c>
      <c r="D9" s="4">
        <v>0.42</v>
      </c>
      <c r="E9" s="4">
        <v>0.11</v>
      </c>
      <c r="F9" s="4">
        <v>0.03</v>
      </c>
      <c r="G9" s="4">
        <v>0</v>
      </c>
      <c r="H9" s="4">
        <v>1.51</v>
      </c>
      <c r="I9" s="4">
        <v>2.96</v>
      </c>
      <c r="J9" s="4">
        <v>2.54</v>
      </c>
      <c r="K9" s="4">
        <v>1.76</v>
      </c>
      <c r="L9" s="4">
        <v>0.06</v>
      </c>
      <c r="M9" s="4">
        <v>0.32</v>
      </c>
    </row>
    <row r="10" spans="1:13" ht="15" customHeight="1" x14ac:dyDescent="0.2">
      <c r="A10" s="1">
        <v>1975</v>
      </c>
      <c r="B10" s="4">
        <v>2.15</v>
      </c>
      <c r="C10" s="4">
        <v>0.68</v>
      </c>
      <c r="D10" s="4">
        <v>1.97</v>
      </c>
      <c r="E10" s="4">
        <v>0.35</v>
      </c>
      <c r="F10" s="4">
        <v>0.06</v>
      </c>
      <c r="G10" s="4">
        <v>0</v>
      </c>
      <c r="H10" s="4">
        <v>4.88</v>
      </c>
      <c r="I10" s="4">
        <v>2.2599999999999998</v>
      </c>
      <c r="J10" s="4">
        <v>6.55</v>
      </c>
      <c r="K10" s="4">
        <v>0.82</v>
      </c>
      <c r="L10" s="4">
        <v>1.38</v>
      </c>
      <c r="M10" s="4">
        <v>0.75</v>
      </c>
    </row>
    <row r="11" spans="1:13" ht="15" customHeight="1" x14ac:dyDescent="0.2">
      <c r="A11" s="1">
        <v>1976</v>
      </c>
      <c r="B11" s="4">
        <v>0.33</v>
      </c>
      <c r="C11" s="4">
        <v>1.86</v>
      </c>
      <c r="D11" s="4">
        <v>0.82</v>
      </c>
      <c r="E11" s="4">
        <v>0.32</v>
      </c>
      <c r="F11" s="4">
        <v>0.51</v>
      </c>
      <c r="G11" s="4">
        <v>0.28999999999999998</v>
      </c>
      <c r="H11" s="4">
        <v>3.15</v>
      </c>
      <c r="I11" s="4">
        <v>2.0099999999999998</v>
      </c>
      <c r="J11" s="4">
        <v>2.0099999999999998</v>
      </c>
      <c r="K11" s="4">
        <v>1.58</v>
      </c>
      <c r="L11" s="4">
        <v>0.43</v>
      </c>
      <c r="M11" s="4">
        <v>0.05</v>
      </c>
    </row>
    <row r="12" spans="1:13" ht="15" customHeight="1" x14ac:dyDescent="0.2">
      <c r="A12" s="1">
        <v>1977</v>
      </c>
      <c r="B12" s="4">
        <v>1.47</v>
      </c>
      <c r="C12" s="4">
        <v>0.22</v>
      </c>
      <c r="D12" s="4">
        <v>1.02</v>
      </c>
      <c r="E12" s="4">
        <v>0.42</v>
      </c>
      <c r="F12" s="4">
        <v>0</v>
      </c>
      <c r="G12" s="4">
        <v>1.05</v>
      </c>
      <c r="H12" s="4">
        <v>4.04</v>
      </c>
      <c r="I12" s="4">
        <v>3.79</v>
      </c>
      <c r="J12" s="4">
        <v>1.03</v>
      </c>
      <c r="K12" s="4">
        <v>0.6</v>
      </c>
      <c r="L12" s="4">
        <v>0.71</v>
      </c>
      <c r="M12" s="4">
        <v>0.42</v>
      </c>
    </row>
    <row r="13" spans="1:13" ht="15" customHeight="1" x14ac:dyDescent="0.2">
      <c r="A13" s="1">
        <v>1978</v>
      </c>
      <c r="B13" s="4">
        <v>2.2999999999999998</v>
      </c>
      <c r="C13" s="4">
        <v>1.04</v>
      </c>
      <c r="D13" s="4">
        <v>1.49</v>
      </c>
      <c r="E13" s="4">
        <v>0</v>
      </c>
      <c r="F13" s="4">
        <v>1.34</v>
      </c>
      <c r="G13" s="4">
        <v>0.15</v>
      </c>
      <c r="H13" s="4">
        <v>1.27</v>
      </c>
      <c r="I13" s="4">
        <v>3.21</v>
      </c>
      <c r="J13" s="4">
        <v>0.67</v>
      </c>
      <c r="K13" s="4">
        <v>1.81</v>
      </c>
      <c r="L13" s="4">
        <v>3.86</v>
      </c>
      <c r="M13" s="4">
        <v>3.99</v>
      </c>
    </row>
    <row r="14" spans="1:13" ht="15" customHeight="1" x14ac:dyDescent="0.2">
      <c r="A14" s="1">
        <v>1979</v>
      </c>
      <c r="B14" s="4">
        <v>3</v>
      </c>
      <c r="C14" s="4">
        <v>1.1399999999999999</v>
      </c>
      <c r="D14" s="4">
        <v>0.51</v>
      </c>
      <c r="E14" s="4">
        <v>0.19</v>
      </c>
      <c r="F14" s="4">
        <v>0.92</v>
      </c>
      <c r="G14" s="4">
        <v>1.01</v>
      </c>
      <c r="H14" s="4">
        <v>2.88</v>
      </c>
      <c r="I14" s="4">
        <v>1.85</v>
      </c>
      <c r="J14" s="4">
        <v>1.17</v>
      </c>
      <c r="K14" s="4">
        <v>0.21</v>
      </c>
      <c r="L14" s="4">
        <v>0.53</v>
      </c>
      <c r="M14" s="4">
        <v>0.77</v>
      </c>
    </row>
    <row r="15" spans="1:13" ht="15" customHeight="1" x14ac:dyDescent="0.2">
      <c r="A15" s="1">
        <v>1980</v>
      </c>
      <c r="B15" s="4">
        <v>1.64</v>
      </c>
      <c r="C15" s="4">
        <v>2.5099999999999998</v>
      </c>
      <c r="D15" s="4">
        <v>0.78</v>
      </c>
      <c r="E15" s="4">
        <v>0.17</v>
      </c>
      <c r="F15" s="4">
        <v>0.77</v>
      </c>
      <c r="G15" s="4">
        <v>0</v>
      </c>
      <c r="H15" s="4">
        <v>1.03</v>
      </c>
      <c r="I15" s="4">
        <v>2.67</v>
      </c>
      <c r="J15" s="4">
        <v>2.98</v>
      </c>
      <c r="K15" s="4">
        <v>0.28999999999999998</v>
      </c>
      <c r="L15" s="4">
        <v>0.13</v>
      </c>
      <c r="M15" s="4">
        <v>0.18</v>
      </c>
    </row>
    <row r="16" spans="1:13" ht="15" customHeight="1" x14ac:dyDescent="0.2">
      <c r="A16" s="1">
        <v>1981</v>
      </c>
      <c r="B16" s="4">
        <v>0.68</v>
      </c>
      <c r="C16" s="4">
        <v>0.24</v>
      </c>
      <c r="D16" s="4">
        <v>0.98</v>
      </c>
      <c r="E16" s="4">
        <v>0.28999999999999998</v>
      </c>
      <c r="F16" s="4">
        <v>0.89</v>
      </c>
      <c r="G16" s="4">
        <v>1.61</v>
      </c>
      <c r="H16" s="4">
        <v>4.0199999999999996</v>
      </c>
      <c r="I16" s="4">
        <v>2.77</v>
      </c>
      <c r="J16" s="4">
        <v>0.65</v>
      </c>
      <c r="K16" s="4">
        <v>2.76</v>
      </c>
      <c r="L16" s="4">
        <v>0.92</v>
      </c>
      <c r="M16" s="4">
        <v>0</v>
      </c>
    </row>
    <row r="17" spans="1:13" ht="15" customHeight="1" x14ac:dyDescent="0.2">
      <c r="A17" s="1">
        <v>1982</v>
      </c>
      <c r="B17" s="4">
        <v>2</v>
      </c>
      <c r="C17" s="4">
        <v>1.87</v>
      </c>
      <c r="D17" s="4">
        <v>1.44</v>
      </c>
      <c r="E17" s="4">
        <v>0.19</v>
      </c>
      <c r="F17" s="4">
        <v>1.1299999999999999</v>
      </c>
      <c r="G17" s="4">
        <v>0.11</v>
      </c>
      <c r="H17" s="4">
        <v>2.34</v>
      </c>
      <c r="I17" s="4">
        <v>2.81</v>
      </c>
      <c r="J17" s="4">
        <v>2.81</v>
      </c>
      <c r="K17" s="4">
        <v>0</v>
      </c>
      <c r="L17" s="4">
        <v>1.74</v>
      </c>
      <c r="M17" s="4">
        <v>2.9</v>
      </c>
    </row>
    <row r="18" spans="1:13" ht="15" customHeight="1" x14ac:dyDescent="0.2">
      <c r="A18" s="1">
        <v>1983</v>
      </c>
      <c r="B18" s="4">
        <v>1.04</v>
      </c>
      <c r="C18" s="4">
        <v>1.77</v>
      </c>
      <c r="D18" s="4">
        <v>1.93</v>
      </c>
      <c r="E18" s="4">
        <v>0.33</v>
      </c>
      <c r="F18" s="4">
        <v>0.02</v>
      </c>
      <c r="G18" s="4">
        <v>0.13</v>
      </c>
      <c r="H18" s="4">
        <v>2.11</v>
      </c>
      <c r="I18" s="4">
        <v>2.4500000000000002</v>
      </c>
      <c r="J18" s="4">
        <v>4.92</v>
      </c>
      <c r="K18" s="4">
        <v>2.4</v>
      </c>
      <c r="L18" s="4">
        <v>1.77</v>
      </c>
      <c r="M18" s="4">
        <v>0.78</v>
      </c>
    </row>
    <row r="19" spans="1:13" ht="15" customHeight="1" x14ac:dyDescent="0.2">
      <c r="A19" s="1">
        <v>1984</v>
      </c>
      <c r="B19" s="4">
        <v>0.56999999999999995</v>
      </c>
      <c r="C19" s="4">
        <v>0.22</v>
      </c>
      <c r="D19" s="4">
        <v>0.37</v>
      </c>
      <c r="E19" s="4">
        <v>0.53</v>
      </c>
      <c r="F19" s="4">
        <v>0.37</v>
      </c>
      <c r="G19" s="4">
        <v>1.38</v>
      </c>
      <c r="H19" s="4">
        <v>2.57</v>
      </c>
      <c r="I19" s="4">
        <v>2.91</v>
      </c>
      <c r="J19" s="4">
        <v>1.7</v>
      </c>
      <c r="K19" s="4">
        <v>1.76</v>
      </c>
      <c r="L19" s="4">
        <v>0.97</v>
      </c>
      <c r="M19" s="4">
        <v>4.6900000000000004</v>
      </c>
    </row>
    <row r="20" spans="1:13" ht="15" customHeight="1" x14ac:dyDescent="0.2">
      <c r="A20" s="1">
        <v>1985</v>
      </c>
      <c r="B20" s="4">
        <v>1.95</v>
      </c>
      <c r="C20" s="4">
        <v>0.51</v>
      </c>
      <c r="D20" s="4">
        <v>1.44</v>
      </c>
      <c r="E20" s="4">
        <v>1.67</v>
      </c>
      <c r="F20" s="4">
        <v>0.59</v>
      </c>
      <c r="G20" s="4">
        <v>0.38</v>
      </c>
      <c r="H20" s="4">
        <v>1.79</v>
      </c>
      <c r="I20" s="4">
        <v>1.84</v>
      </c>
      <c r="J20" s="4">
        <v>2.41</v>
      </c>
      <c r="K20" s="4">
        <v>5.03</v>
      </c>
      <c r="L20" s="4">
        <v>1.55</v>
      </c>
      <c r="M20" s="4">
        <v>0.18</v>
      </c>
    </row>
    <row r="21" spans="1:13" ht="15" customHeight="1" x14ac:dyDescent="0.2">
      <c r="A21" s="1">
        <v>1986</v>
      </c>
      <c r="B21" s="4">
        <v>0.09</v>
      </c>
      <c r="C21" s="4">
        <v>2.0099999999999998</v>
      </c>
      <c r="D21" s="4">
        <v>0.98</v>
      </c>
      <c r="E21" s="4">
        <v>0.03</v>
      </c>
      <c r="F21" s="4">
        <v>0.92</v>
      </c>
      <c r="G21" s="4">
        <v>2.13</v>
      </c>
      <c r="H21" s="4">
        <v>3.65</v>
      </c>
      <c r="I21" s="4">
        <v>3.37</v>
      </c>
      <c r="J21" s="4">
        <v>1.06</v>
      </c>
      <c r="K21" s="4">
        <v>2.94</v>
      </c>
      <c r="L21" s="4">
        <v>2.63</v>
      </c>
      <c r="M21" s="4">
        <v>1.56</v>
      </c>
    </row>
    <row r="22" spans="1:13" ht="15" customHeight="1" x14ac:dyDescent="0.2">
      <c r="A22" s="1">
        <v>1987</v>
      </c>
      <c r="B22" s="4">
        <v>0.6</v>
      </c>
      <c r="C22" s="4">
        <v>0.89</v>
      </c>
      <c r="D22" s="4">
        <v>0.92</v>
      </c>
      <c r="E22" s="4">
        <v>0.54</v>
      </c>
      <c r="F22" s="4">
        <v>0.73</v>
      </c>
      <c r="G22" s="4">
        <v>1.3</v>
      </c>
      <c r="H22" s="4">
        <v>3.82</v>
      </c>
      <c r="I22" s="4">
        <v>3.09</v>
      </c>
      <c r="J22" s="4">
        <v>1.89</v>
      </c>
      <c r="K22" s="4">
        <v>0.82</v>
      </c>
      <c r="L22" s="4">
        <v>0.53</v>
      </c>
      <c r="M22" s="4">
        <v>2.2200000000000002</v>
      </c>
    </row>
    <row r="23" spans="1:13" ht="15" customHeight="1" x14ac:dyDescent="0.2">
      <c r="A23" s="1">
        <v>1988</v>
      </c>
      <c r="B23" s="4">
        <v>0.6</v>
      </c>
      <c r="C23" s="4">
        <v>1.52</v>
      </c>
      <c r="D23" s="4">
        <v>0.7</v>
      </c>
      <c r="E23" s="4">
        <v>1.3</v>
      </c>
      <c r="F23" s="4">
        <v>0.49</v>
      </c>
      <c r="G23" s="4">
        <v>0.91</v>
      </c>
      <c r="H23" s="4">
        <v>4.78</v>
      </c>
      <c r="I23" s="4">
        <v>8.4499999999999993</v>
      </c>
      <c r="J23" s="4">
        <v>3.18</v>
      </c>
      <c r="K23" s="4">
        <v>3.09</v>
      </c>
      <c r="L23" s="4">
        <v>0.41</v>
      </c>
      <c r="M23" s="4">
        <v>0.3</v>
      </c>
    </row>
    <row r="24" spans="1:13" ht="15" customHeight="1" x14ac:dyDescent="0.2">
      <c r="A24" s="1">
        <v>1989</v>
      </c>
      <c r="B24" s="4">
        <v>1.08</v>
      </c>
      <c r="C24" s="4">
        <v>0.4</v>
      </c>
      <c r="D24" s="4">
        <v>0.41</v>
      </c>
      <c r="E24" s="4">
        <v>0</v>
      </c>
      <c r="F24" s="4">
        <v>0.6</v>
      </c>
      <c r="G24" s="4">
        <v>0.09</v>
      </c>
      <c r="H24" s="4">
        <v>3.44</v>
      </c>
      <c r="I24" s="4">
        <v>2.84</v>
      </c>
      <c r="J24" s="4">
        <v>2.02</v>
      </c>
      <c r="K24" s="4">
        <v>1.1200000000000001</v>
      </c>
      <c r="L24" s="4">
        <v>7.0000000000000007E-2</v>
      </c>
      <c r="M24" s="4">
        <v>0.22</v>
      </c>
    </row>
    <row r="25" spans="1:13" ht="15" customHeight="1" x14ac:dyDescent="0.2">
      <c r="A25" s="1">
        <v>1990</v>
      </c>
      <c r="B25" s="4">
        <v>0.78</v>
      </c>
      <c r="C25" s="4">
        <v>0.48</v>
      </c>
      <c r="D25" s="4">
        <v>0.46</v>
      </c>
      <c r="E25" s="4">
        <v>0.56999999999999995</v>
      </c>
      <c r="F25" s="4">
        <v>0.5</v>
      </c>
      <c r="G25" s="4">
        <v>0.03</v>
      </c>
      <c r="H25" s="4">
        <v>3.46</v>
      </c>
      <c r="I25" s="4">
        <v>2.67</v>
      </c>
      <c r="J25" s="4">
        <v>2.74</v>
      </c>
      <c r="K25" s="4">
        <v>0.57999999999999996</v>
      </c>
      <c r="L25" s="4">
        <v>1.84</v>
      </c>
      <c r="M25" s="4">
        <v>2.69</v>
      </c>
    </row>
    <row r="26" spans="1:13" ht="15" customHeight="1" x14ac:dyDescent="0.2">
      <c r="A26" s="1">
        <v>1991</v>
      </c>
      <c r="B26" s="4">
        <v>0.47</v>
      </c>
      <c r="C26" s="4">
        <v>1.48</v>
      </c>
      <c r="D26" s="4">
        <v>1.56</v>
      </c>
      <c r="E26" s="4">
        <v>0</v>
      </c>
      <c r="F26" s="4">
        <v>0.08</v>
      </c>
      <c r="G26" s="4">
        <v>0.79</v>
      </c>
      <c r="H26" s="4">
        <v>3.75</v>
      </c>
      <c r="I26" s="4">
        <v>4.05</v>
      </c>
      <c r="J26" s="4">
        <v>1.56</v>
      </c>
      <c r="K26" s="4">
        <v>0.18</v>
      </c>
      <c r="L26" s="4">
        <v>1.65</v>
      </c>
      <c r="M26" s="4">
        <v>3.17</v>
      </c>
    </row>
    <row r="27" spans="1:13" ht="15" customHeight="1" x14ac:dyDescent="0.2">
      <c r="A27" s="1">
        <v>1992</v>
      </c>
      <c r="B27" s="4">
        <v>1.22</v>
      </c>
      <c r="C27" s="4">
        <v>0.95</v>
      </c>
      <c r="D27" s="4">
        <v>1.59</v>
      </c>
      <c r="E27" s="4">
        <v>0.96</v>
      </c>
      <c r="F27" s="4">
        <v>4.63</v>
      </c>
      <c r="G27" s="4">
        <v>0.44</v>
      </c>
      <c r="H27" s="4">
        <v>1.84</v>
      </c>
      <c r="I27" s="4">
        <v>2.71</v>
      </c>
      <c r="J27" s="4">
        <v>0.32</v>
      </c>
      <c r="K27" s="4">
        <v>0.64</v>
      </c>
      <c r="L27" s="4">
        <v>0.17</v>
      </c>
      <c r="M27" s="4">
        <v>4</v>
      </c>
    </row>
    <row r="28" spans="1:13" ht="15" customHeight="1" x14ac:dyDescent="0.2">
      <c r="A28" s="1">
        <v>1993</v>
      </c>
      <c r="B28" s="4">
        <v>3.58</v>
      </c>
      <c r="C28" s="4">
        <v>2.73</v>
      </c>
      <c r="D28" s="4">
        <v>0.74</v>
      </c>
      <c r="E28" s="4">
        <v>0</v>
      </c>
      <c r="F28" s="4">
        <v>0.73</v>
      </c>
      <c r="G28" s="4">
        <v>0.38</v>
      </c>
      <c r="H28" s="4">
        <v>1.08</v>
      </c>
      <c r="I28" s="4">
        <v>7.59</v>
      </c>
      <c r="J28" s="4">
        <v>0.5</v>
      </c>
      <c r="K28" s="4">
        <v>1.92</v>
      </c>
      <c r="L28" s="4">
        <v>0.92</v>
      </c>
      <c r="M28" s="4">
        <v>0.25</v>
      </c>
    </row>
    <row r="29" spans="1:13" ht="15" customHeight="1" x14ac:dyDescent="0.2">
      <c r="A29" s="1">
        <v>1994</v>
      </c>
      <c r="B29" s="4">
        <v>0.86</v>
      </c>
      <c r="C29" s="4">
        <v>1.08</v>
      </c>
      <c r="D29" s="4">
        <v>0.63</v>
      </c>
      <c r="E29" s="4">
        <v>7.0000000000000007E-2</v>
      </c>
      <c r="F29" s="4">
        <v>0.76</v>
      </c>
      <c r="G29" s="4">
        <v>0.49</v>
      </c>
      <c r="H29" s="4">
        <v>0.49</v>
      </c>
      <c r="I29" s="4">
        <v>3.69</v>
      </c>
      <c r="J29" s="4">
        <v>1.55</v>
      </c>
      <c r="K29" s="4">
        <v>0.56999999999999995</v>
      </c>
      <c r="L29" s="4">
        <v>4.6500000000000004</v>
      </c>
      <c r="M29" s="4">
        <v>2.87</v>
      </c>
    </row>
    <row r="30" spans="1:13" ht="15" customHeight="1" x14ac:dyDescent="0.2">
      <c r="A30" s="1">
        <v>1995</v>
      </c>
      <c r="B30" s="4">
        <v>2.5</v>
      </c>
      <c r="C30" s="4">
        <v>0.39</v>
      </c>
      <c r="D30" s="4">
        <v>1.1599999999999999</v>
      </c>
      <c r="E30" s="4">
        <v>0.11</v>
      </c>
      <c r="F30" s="4">
        <v>0.16</v>
      </c>
      <c r="G30" s="4">
        <v>0</v>
      </c>
      <c r="H30" s="4">
        <v>2.99</v>
      </c>
      <c r="I30" s="4">
        <v>4.9000000000000004</v>
      </c>
      <c r="J30" s="4">
        <v>1</v>
      </c>
      <c r="K30" s="4">
        <v>0</v>
      </c>
      <c r="L30" s="4">
        <v>0.52</v>
      </c>
      <c r="M30" s="4">
        <v>0.33</v>
      </c>
    </row>
    <row r="31" spans="1:13" ht="15" customHeight="1" x14ac:dyDescent="0.2">
      <c r="A31" s="1">
        <v>1996</v>
      </c>
      <c r="B31" s="4">
        <v>0.03</v>
      </c>
      <c r="C31" s="4">
        <v>1.83</v>
      </c>
      <c r="D31" s="4">
        <v>0</v>
      </c>
      <c r="E31" s="4">
        <v>0</v>
      </c>
      <c r="F31" s="4">
        <v>0</v>
      </c>
      <c r="G31" s="4">
        <v>1.99</v>
      </c>
      <c r="H31" s="4">
        <v>1.1100000000000001</v>
      </c>
      <c r="I31" s="4">
        <v>4.25</v>
      </c>
      <c r="J31" s="4">
        <v>2.36</v>
      </c>
      <c r="K31" s="4">
        <v>2.64</v>
      </c>
      <c r="L31" s="4">
        <v>0.99</v>
      </c>
      <c r="M31" s="4">
        <v>0</v>
      </c>
    </row>
    <row r="32" spans="1:13" ht="15" customHeight="1" x14ac:dyDescent="0.2">
      <c r="A32" s="1">
        <v>1997</v>
      </c>
      <c r="B32" s="4">
        <v>0.88</v>
      </c>
      <c r="C32" s="4">
        <v>1.47</v>
      </c>
      <c r="D32" s="4">
        <v>0.55000000000000004</v>
      </c>
      <c r="E32" s="4">
        <v>0.21</v>
      </c>
      <c r="F32" s="4">
        <v>0.8</v>
      </c>
      <c r="G32" s="4">
        <v>7.0000000000000007E-2</v>
      </c>
      <c r="H32" s="4">
        <v>3.21</v>
      </c>
      <c r="I32" s="4">
        <v>1.33</v>
      </c>
      <c r="J32" s="4">
        <v>4.83</v>
      </c>
      <c r="K32" s="4">
        <v>1.55</v>
      </c>
      <c r="L32" s="4">
        <v>0.44</v>
      </c>
      <c r="M32" s="4">
        <v>1.35</v>
      </c>
    </row>
    <row r="33" spans="1:13" ht="15" customHeight="1" x14ac:dyDescent="0.2">
      <c r="A33" s="1">
        <v>1998</v>
      </c>
      <c r="B33" s="4">
        <v>0.11</v>
      </c>
      <c r="C33" s="4">
        <v>0.91</v>
      </c>
      <c r="D33" s="4">
        <v>1.1100000000000001</v>
      </c>
      <c r="E33" s="4">
        <v>0.67</v>
      </c>
      <c r="F33" s="4">
        <v>0</v>
      </c>
      <c r="G33" s="4">
        <v>0.1</v>
      </c>
      <c r="H33" s="4">
        <v>4.1399999999999997</v>
      </c>
      <c r="I33" s="4">
        <v>2.67</v>
      </c>
      <c r="J33" s="4">
        <v>0.66</v>
      </c>
      <c r="K33" s="4">
        <v>2.4500000000000002</v>
      </c>
      <c r="L33" s="4">
        <v>1.3</v>
      </c>
      <c r="M33" s="4">
        <v>0.79</v>
      </c>
    </row>
    <row r="34" spans="1:13" ht="15" customHeight="1" x14ac:dyDescent="0.2">
      <c r="A34" s="1">
        <v>1999</v>
      </c>
      <c r="B34" s="4">
        <v>0.08</v>
      </c>
      <c r="C34" s="4">
        <v>0.09</v>
      </c>
      <c r="D34" s="4">
        <v>0.26</v>
      </c>
      <c r="E34" s="4">
        <v>0.56999999999999995</v>
      </c>
      <c r="F34" s="4">
        <v>0.16</v>
      </c>
      <c r="G34" s="4">
        <v>1.1299999999999999</v>
      </c>
      <c r="H34" s="4">
        <v>3.05</v>
      </c>
      <c r="I34" s="4">
        <v>3.06</v>
      </c>
      <c r="J34" s="4">
        <v>3.25</v>
      </c>
      <c r="K34" s="4">
        <v>0</v>
      </c>
      <c r="L34" s="4">
        <v>0</v>
      </c>
      <c r="M34" s="4">
        <v>0.2</v>
      </c>
    </row>
    <row r="35" spans="1:13" ht="15" customHeight="1" x14ac:dyDescent="0.2">
      <c r="A35" s="1">
        <v>2000</v>
      </c>
      <c r="B35" s="4">
        <v>0.08</v>
      </c>
      <c r="C35" s="4">
        <v>0.02</v>
      </c>
      <c r="D35" s="4">
        <v>0.9</v>
      </c>
      <c r="E35" s="4">
        <v>7.0000000000000007E-2</v>
      </c>
      <c r="F35" s="4">
        <v>0</v>
      </c>
      <c r="G35" s="4">
        <v>2.4900000000000002</v>
      </c>
      <c r="H35" s="4">
        <v>1.85</v>
      </c>
      <c r="I35" s="4">
        <v>3.12</v>
      </c>
      <c r="J35" s="4">
        <v>0.1</v>
      </c>
      <c r="K35" s="4">
        <v>4.3499999999999996</v>
      </c>
      <c r="L35" s="4">
        <v>1.49</v>
      </c>
      <c r="M35" s="4">
        <v>0.23</v>
      </c>
    </row>
    <row r="36" spans="1:13" ht="15" customHeight="1" x14ac:dyDescent="0.2">
      <c r="A36" s="1">
        <v>2001</v>
      </c>
      <c r="B36" s="4">
        <v>0.94</v>
      </c>
      <c r="C36" s="4">
        <v>0.86</v>
      </c>
      <c r="D36" s="4">
        <v>0.28000000000000003</v>
      </c>
      <c r="E36" s="4">
        <v>0.7</v>
      </c>
      <c r="F36" s="4">
        <v>0.7</v>
      </c>
      <c r="G36" s="4">
        <v>0.64</v>
      </c>
      <c r="H36" s="4">
        <v>2.16</v>
      </c>
      <c r="I36" s="4">
        <v>3.68</v>
      </c>
      <c r="J36" s="4">
        <v>1.63</v>
      </c>
      <c r="K36" s="4">
        <v>0.23</v>
      </c>
      <c r="L36" s="4">
        <v>0.25</v>
      </c>
      <c r="M36" s="4">
        <v>0.48</v>
      </c>
    </row>
    <row r="37" spans="1:13" ht="15" customHeight="1" x14ac:dyDescent="0.2">
      <c r="A37" s="1">
        <v>2002</v>
      </c>
      <c r="B37" s="4">
        <v>0.52</v>
      </c>
      <c r="C37" s="4">
        <v>0.27</v>
      </c>
      <c r="D37" s="4">
        <v>0.23</v>
      </c>
      <c r="E37" s="4">
        <v>0.08</v>
      </c>
      <c r="F37" s="4">
        <v>0.01</v>
      </c>
      <c r="G37" s="4">
        <v>0</v>
      </c>
      <c r="H37" s="4">
        <v>3.38</v>
      </c>
      <c r="I37" s="4">
        <v>3.04</v>
      </c>
      <c r="J37" s="4">
        <v>3.09</v>
      </c>
      <c r="K37" s="4">
        <v>0.37</v>
      </c>
      <c r="L37" s="4">
        <v>0.42</v>
      </c>
      <c r="M37" s="4">
        <v>1.29</v>
      </c>
    </row>
    <row r="38" spans="1:13" ht="15" customHeight="1" x14ac:dyDescent="0.2">
      <c r="A38" s="1">
        <v>2003</v>
      </c>
      <c r="B38" s="4">
        <v>0.2</v>
      </c>
      <c r="C38" s="4">
        <v>0.94</v>
      </c>
      <c r="D38" s="4">
        <v>0.81</v>
      </c>
      <c r="E38" s="4">
        <v>0.97</v>
      </c>
      <c r="F38" s="4">
        <v>0.05</v>
      </c>
      <c r="G38" s="4">
        <v>1.9</v>
      </c>
      <c r="H38" s="4">
        <v>2.62</v>
      </c>
      <c r="I38" s="4">
        <v>1.82</v>
      </c>
      <c r="J38" s="4">
        <v>0.39</v>
      </c>
      <c r="K38" s="4">
        <v>1.23</v>
      </c>
      <c r="L38" s="4">
        <v>1.64</v>
      </c>
      <c r="M38" s="4">
        <v>0.23</v>
      </c>
    </row>
    <row r="39" spans="1:13" ht="15" customHeight="1" x14ac:dyDescent="0.2">
      <c r="A39" s="1">
        <v>2004</v>
      </c>
      <c r="B39" s="4">
        <v>0.93</v>
      </c>
      <c r="C39" s="4">
        <v>0.5</v>
      </c>
      <c r="D39" s="4">
        <v>1.01</v>
      </c>
      <c r="E39" s="4">
        <v>2.35</v>
      </c>
      <c r="F39" s="4">
        <v>0.33</v>
      </c>
      <c r="G39" s="4">
        <v>0.22</v>
      </c>
      <c r="H39" s="4">
        <v>2.4</v>
      </c>
      <c r="I39" s="4">
        <v>1.71</v>
      </c>
      <c r="J39" s="4">
        <v>1.82</v>
      </c>
      <c r="K39" s="4">
        <v>2.42</v>
      </c>
      <c r="L39" s="4">
        <v>1.01</v>
      </c>
      <c r="M39" s="4">
        <v>1.6</v>
      </c>
    </row>
    <row r="40" spans="1:13" ht="15" customHeight="1" x14ac:dyDescent="0.2">
      <c r="A40" s="1">
        <v>2005</v>
      </c>
      <c r="B40" s="4">
        <v>2.25</v>
      </c>
      <c r="C40" s="4">
        <v>3.51</v>
      </c>
      <c r="D40" s="4">
        <v>0.74</v>
      </c>
      <c r="E40" s="4">
        <v>0.61</v>
      </c>
      <c r="F40" s="4">
        <v>0.14000000000000001</v>
      </c>
      <c r="G40" s="4">
        <v>0.31</v>
      </c>
      <c r="H40" s="4">
        <v>0.6</v>
      </c>
      <c r="I40" s="4">
        <v>0.91</v>
      </c>
      <c r="J40" s="4">
        <v>1.58</v>
      </c>
      <c r="K40" s="4">
        <v>2.1</v>
      </c>
      <c r="L40" s="4">
        <v>0.03</v>
      </c>
      <c r="M40" s="4">
        <v>0.03</v>
      </c>
    </row>
    <row r="41" spans="1:13" ht="15" customHeight="1" x14ac:dyDescent="0.2">
      <c r="A41" s="1">
        <v>2006</v>
      </c>
      <c r="B41" s="4">
        <v>0.41</v>
      </c>
      <c r="C41" s="4">
        <v>0.16</v>
      </c>
      <c r="D41" s="4">
        <v>0.43</v>
      </c>
      <c r="E41" s="4">
        <v>0.06</v>
      </c>
      <c r="F41" s="4">
        <v>0.2</v>
      </c>
      <c r="G41" s="4">
        <v>0.54</v>
      </c>
      <c r="H41" s="4">
        <v>4.49</v>
      </c>
      <c r="I41" s="4">
        <v>4.24</v>
      </c>
      <c r="J41" s="4">
        <v>2.97</v>
      </c>
      <c r="K41" s="4">
        <v>2.16</v>
      </c>
      <c r="L41" s="4">
        <v>0.01</v>
      </c>
      <c r="M41" s="4">
        <v>0.61</v>
      </c>
    </row>
    <row r="42" spans="1:13" ht="15" customHeight="1" x14ac:dyDescent="0.2">
      <c r="A42" s="1">
        <v>2007</v>
      </c>
      <c r="B42" s="4">
        <v>1.77</v>
      </c>
      <c r="C42" s="4">
        <v>0.56999999999999995</v>
      </c>
      <c r="D42" s="4">
        <v>0.75</v>
      </c>
      <c r="E42" s="4">
        <v>0.9</v>
      </c>
      <c r="F42" s="4">
        <v>2.23</v>
      </c>
      <c r="G42" s="4">
        <v>0.45</v>
      </c>
      <c r="H42" s="4">
        <v>4.71</v>
      </c>
      <c r="I42" s="4">
        <v>4.0199999999999996</v>
      </c>
      <c r="J42" s="4">
        <v>1.94</v>
      </c>
      <c r="K42" s="4">
        <v>0.28000000000000003</v>
      </c>
      <c r="L42" s="4">
        <v>0.45</v>
      </c>
      <c r="M42" s="4">
        <v>3.96</v>
      </c>
    </row>
    <row r="43" spans="1:13" ht="15" customHeight="1" x14ac:dyDescent="0.2">
      <c r="A43" s="1">
        <v>2008</v>
      </c>
      <c r="B43" s="4">
        <v>1.2</v>
      </c>
      <c r="C43" s="4">
        <v>0.3</v>
      </c>
      <c r="D43" s="4">
        <v>0.05</v>
      </c>
      <c r="E43" s="4">
        <v>0.05</v>
      </c>
      <c r="F43" s="4">
        <v>0.71</v>
      </c>
      <c r="G43" s="4">
        <v>0.13</v>
      </c>
      <c r="H43" s="4">
        <v>4.6900000000000004</v>
      </c>
      <c r="I43" s="4">
        <v>2.0099999999999998</v>
      </c>
      <c r="J43" s="4">
        <v>0.91</v>
      </c>
      <c r="K43" s="4">
        <v>1.03</v>
      </c>
      <c r="L43" s="4">
        <v>0.77</v>
      </c>
      <c r="M43" s="4">
        <v>1.33</v>
      </c>
    </row>
    <row r="44" spans="1:13" ht="15" customHeight="1" x14ac:dyDescent="0.2">
      <c r="A44" s="1">
        <v>2009</v>
      </c>
      <c r="B44" s="4">
        <v>0.23</v>
      </c>
      <c r="C44" s="4">
        <v>0.23</v>
      </c>
      <c r="D44" s="4">
        <v>0.26</v>
      </c>
      <c r="E44" s="4">
        <v>0.01</v>
      </c>
      <c r="F44" s="4">
        <v>0.19</v>
      </c>
      <c r="G44" s="4">
        <v>1.89</v>
      </c>
      <c r="H44" s="4">
        <v>0.79</v>
      </c>
      <c r="I44" s="4">
        <v>1.55</v>
      </c>
      <c r="J44" s="4">
        <v>3.63</v>
      </c>
      <c r="K44" s="4">
        <v>0.38</v>
      </c>
      <c r="L44" s="4">
        <v>0.62</v>
      </c>
      <c r="M44" s="4">
        <v>1.01</v>
      </c>
    </row>
    <row r="45" spans="1:13" ht="15" customHeight="1" x14ac:dyDescent="0.2">
      <c r="A45" s="1">
        <v>2010</v>
      </c>
      <c r="B45" s="4">
        <v>2.99</v>
      </c>
      <c r="C45" s="4">
        <v>2.2799999999999998</v>
      </c>
      <c r="D45" s="4">
        <v>0.63</v>
      </c>
      <c r="E45" s="4">
        <v>0.84</v>
      </c>
      <c r="F45" s="4">
        <v>0.14000000000000001</v>
      </c>
      <c r="G45" s="4">
        <v>1.55</v>
      </c>
      <c r="H45" s="4">
        <v>2.71</v>
      </c>
      <c r="I45" s="4">
        <v>2.72</v>
      </c>
      <c r="J45" s="4">
        <v>0.91</v>
      </c>
      <c r="K45" s="4">
        <v>0.31</v>
      </c>
      <c r="L45" s="4">
        <v>0</v>
      </c>
      <c r="M45" s="4">
        <v>1.08</v>
      </c>
    </row>
    <row r="46" spans="1:13" ht="15" customHeight="1" x14ac:dyDescent="0.2">
      <c r="A46" s="1">
        <v>2011</v>
      </c>
      <c r="B46" s="4">
        <v>0.04</v>
      </c>
      <c r="C46" s="4">
        <v>0.16</v>
      </c>
      <c r="D46" s="4">
        <v>0.04</v>
      </c>
      <c r="E46" s="4">
        <v>0.05</v>
      </c>
      <c r="F46" s="4">
        <v>0</v>
      </c>
      <c r="G46" s="4">
        <v>0</v>
      </c>
      <c r="H46" s="4">
        <v>1.35</v>
      </c>
      <c r="I46" s="4">
        <v>4.5199999999999996</v>
      </c>
      <c r="J46" s="4">
        <v>2.21</v>
      </c>
      <c r="K46" s="4">
        <v>0.85</v>
      </c>
      <c r="L46" s="4">
        <v>0.78</v>
      </c>
      <c r="M46" s="4">
        <v>2.92</v>
      </c>
    </row>
    <row r="47" spans="1:13" ht="15" customHeight="1" x14ac:dyDescent="0.2">
      <c r="A47" s="1">
        <v>2012</v>
      </c>
      <c r="B47" s="4">
        <v>0.37</v>
      </c>
      <c r="C47" s="4">
        <v>0.38</v>
      </c>
      <c r="D47" s="4">
        <v>0.26</v>
      </c>
      <c r="E47" s="4">
        <v>0</v>
      </c>
      <c r="F47" s="4">
        <v>0.28000000000000003</v>
      </c>
      <c r="G47" s="4">
        <v>0.21</v>
      </c>
      <c r="H47" s="4">
        <v>2.48</v>
      </c>
      <c r="I47" s="4">
        <v>2.42</v>
      </c>
      <c r="J47" s="4">
        <v>0.28000000000000003</v>
      </c>
      <c r="K47" s="4">
        <v>0.04</v>
      </c>
      <c r="L47" s="4">
        <v>0.43</v>
      </c>
      <c r="M47" s="4">
        <v>0.77</v>
      </c>
    </row>
    <row r="48" spans="1:13" ht="15" customHeight="1" x14ac:dyDescent="0.2">
      <c r="A48" s="1">
        <v>2013</v>
      </c>
      <c r="B48" s="4">
        <v>1.17</v>
      </c>
      <c r="C48" s="4">
        <v>0.33</v>
      </c>
      <c r="D48" s="4">
        <v>0.98</v>
      </c>
      <c r="E48" s="4">
        <v>0.19</v>
      </c>
      <c r="F48" s="4">
        <v>0.09</v>
      </c>
      <c r="G48" s="4">
        <v>0.02</v>
      </c>
      <c r="H48" s="4">
        <v>3.75</v>
      </c>
      <c r="I48" s="4">
        <v>2.2400000000000002</v>
      </c>
      <c r="J48" s="4">
        <v>4.32</v>
      </c>
      <c r="K48" s="4">
        <v>0.11</v>
      </c>
      <c r="L48" s="4">
        <v>1.31</v>
      </c>
      <c r="M48" s="4">
        <v>0.8</v>
      </c>
    </row>
    <row r="49" spans="1:16" ht="15" customHeight="1" x14ac:dyDescent="0.2">
      <c r="A49" s="1">
        <v>2014</v>
      </c>
      <c r="B49" s="4">
        <v>0.02</v>
      </c>
      <c r="C49" s="4">
        <v>0.04</v>
      </c>
      <c r="D49" s="4">
        <v>0.83</v>
      </c>
      <c r="E49" s="4">
        <v>0.62</v>
      </c>
      <c r="F49" s="4">
        <v>0</v>
      </c>
      <c r="G49" s="4">
        <v>0.26</v>
      </c>
      <c r="H49" s="4">
        <v>4.3</v>
      </c>
      <c r="I49" s="4">
        <v>3.27</v>
      </c>
      <c r="J49" s="4">
        <v>2.5499999999999998</v>
      </c>
      <c r="K49" s="4">
        <v>1.56</v>
      </c>
      <c r="L49" s="4">
        <v>0.48</v>
      </c>
      <c r="M49" s="4">
        <v>1</v>
      </c>
      <c r="O49" s="7"/>
      <c r="P49" s="7"/>
    </row>
    <row r="50" spans="1:16" ht="15" customHeight="1" x14ac:dyDescent="0.2">
      <c r="A50" s="1">
        <v>2015</v>
      </c>
      <c r="B50" s="4">
        <v>2.21</v>
      </c>
      <c r="C50" s="4">
        <v>0.46</v>
      </c>
      <c r="D50" s="4">
        <v>1.07</v>
      </c>
      <c r="E50" s="4">
        <v>0.3</v>
      </c>
      <c r="F50" s="4">
        <v>1.84</v>
      </c>
      <c r="G50" s="4">
        <v>2.2200000000000002</v>
      </c>
      <c r="H50" s="4">
        <v>4.07</v>
      </c>
      <c r="I50" s="4">
        <v>2.4500000000000002</v>
      </c>
      <c r="J50" s="4">
        <v>2.52</v>
      </c>
      <c r="K50" s="4">
        <v>1.84</v>
      </c>
      <c r="L50" s="4">
        <v>2.91</v>
      </c>
      <c r="M50" s="4">
        <v>0.76</v>
      </c>
      <c r="O50" s="4"/>
      <c r="P50" s="4"/>
    </row>
    <row r="51" spans="1:16" ht="15" customHeight="1" x14ac:dyDescent="0.2">
      <c r="A51" s="1">
        <v>2016</v>
      </c>
      <c r="B51" s="4">
        <v>1.06</v>
      </c>
      <c r="C51" s="4">
        <v>0.19</v>
      </c>
      <c r="D51" s="4">
        <v>0.14000000000000001</v>
      </c>
      <c r="E51" s="4">
        <v>0.93</v>
      </c>
      <c r="F51" s="4">
        <v>0.48</v>
      </c>
      <c r="G51" s="4">
        <v>0.28000000000000003</v>
      </c>
      <c r="H51" s="4">
        <v>3.19</v>
      </c>
      <c r="I51" s="4">
        <v>2.73</v>
      </c>
      <c r="J51" s="4">
        <v>3.84</v>
      </c>
      <c r="K51" s="4">
        <v>0.19</v>
      </c>
      <c r="L51" s="4">
        <v>1.59</v>
      </c>
      <c r="M51" s="4">
        <v>2.93</v>
      </c>
    </row>
    <row r="52" spans="1:16" ht="15" customHeight="1" x14ac:dyDescent="0.2">
      <c r="A52" s="1">
        <v>2017</v>
      </c>
      <c r="B52" s="4">
        <v>2.54</v>
      </c>
      <c r="C52" s="4">
        <v>1.82</v>
      </c>
      <c r="D52" s="4">
        <v>0.31</v>
      </c>
      <c r="E52" s="4">
        <v>0.27</v>
      </c>
      <c r="F52" s="4">
        <v>0.36</v>
      </c>
      <c r="G52" s="4">
        <v>1.45</v>
      </c>
      <c r="H52" s="4">
        <v>3.18</v>
      </c>
      <c r="I52" s="4">
        <v>5.25</v>
      </c>
      <c r="J52" s="4">
        <v>0.5</v>
      </c>
      <c r="K52" s="4">
        <v>0.05</v>
      </c>
      <c r="L52" s="4">
        <v>0</v>
      </c>
      <c r="M52" s="4">
        <v>0.33</v>
      </c>
    </row>
    <row r="53" spans="1:16" ht="15" customHeight="1" x14ac:dyDescent="0.2">
      <c r="A53" s="1">
        <v>2018</v>
      </c>
      <c r="B53" s="4">
        <v>0.27</v>
      </c>
      <c r="C53" s="4">
        <v>2.21</v>
      </c>
      <c r="D53" s="4">
        <v>0.15</v>
      </c>
      <c r="E53" s="4">
        <v>0</v>
      </c>
      <c r="F53" s="4">
        <v>0</v>
      </c>
      <c r="G53" s="4">
        <v>1.04</v>
      </c>
      <c r="H53" s="4">
        <v>3.09</v>
      </c>
      <c r="I53" s="4">
        <v>2.57</v>
      </c>
      <c r="J53" s="4">
        <v>1.78</v>
      </c>
      <c r="K53" s="4">
        <v>3.03</v>
      </c>
      <c r="L53" s="4">
        <v>0.7</v>
      </c>
      <c r="M53" s="4">
        <v>0.81</v>
      </c>
    </row>
    <row r="54" spans="1:16" ht="15" customHeight="1" x14ac:dyDescent="0.2">
      <c r="A54" s="1">
        <v>2019</v>
      </c>
      <c r="B54" s="4">
        <v>1.08</v>
      </c>
      <c r="C54" s="4">
        <v>0.57999999999999996</v>
      </c>
      <c r="D54" s="4">
        <v>1.46</v>
      </c>
      <c r="E54" s="4">
        <v>0.49</v>
      </c>
      <c r="F54" s="4">
        <v>0.75</v>
      </c>
      <c r="G54" s="4">
        <v>0</v>
      </c>
      <c r="H54" s="4">
        <v>3.19</v>
      </c>
      <c r="I54" s="4">
        <v>3.01</v>
      </c>
      <c r="J54" s="4">
        <v>1.52</v>
      </c>
      <c r="K54" s="4">
        <v>0.56999999999999995</v>
      </c>
      <c r="L54" s="4">
        <v>4.17</v>
      </c>
      <c r="M54" s="4">
        <v>1.1599999999999999</v>
      </c>
    </row>
    <row r="55" spans="1:16" ht="15" customHeight="1" x14ac:dyDescent="0.2">
      <c r="A55" s="1">
        <v>2020</v>
      </c>
      <c r="B55" s="4">
        <v>0.86</v>
      </c>
      <c r="C55" s="4">
        <v>1.96</v>
      </c>
      <c r="D55" s="4">
        <v>1.68</v>
      </c>
      <c r="E55" s="4">
        <v>0</v>
      </c>
      <c r="F55" s="4">
        <v>0.2</v>
      </c>
      <c r="G55" s="4">
        <v>0.22</v>
      </c>
      <c r="H55" s="4">
        <v>3.46</v>
      </c>
      <c r="I55" s="4">
        <v>0.63</v>
      </c>
      <c r="J55" s="4">
        <v>0.81</v>
      </c>
      <c r="K55" s="4">
        <v>0.39</v>
      </c>
      <c r="L55" s="4">
        <v>1</v>
      </c>
      <c r="M55" s="4">
        <v>0.82</v>
      </c>
    </row>
    <row r="56" spans="1:16" ht="15" customHeight="1" x14ac:dyDescent="0.2">
      <c r="A56" s="1">
        <v>2021</v>
      </c>
      <c r="B56" s="4">
        <v>0.97</v>
      </c>
      <c r="C56" s="4">
        <v>0.76</v>
      </c>
      <c r="D56" s="4">
        <v>0.37</v>
      </c>
      <c r="E56" s="4">
        <v>0.16</v>
      </c>
      <c r="F56" s="4">
        <v>0</v>
      </c>
      <c r="G56" s="4">
        <v>0.25</v>
      </c>
      <c r="H56" s="4">
        <v>3.6</v>
      </c>
      <c r="I56" s="4">
        <v>4.2</v>
      </c>
      <c r="J56" s="4">
        <v>4.12</v>
      </c>
      <c r="K56" s="4">
        <v>0.27</v>
      </c>
      <c r="L56" s="4">
        <v>0.21</v>
      </c>
      <c r="M56" s="4">
        <v>0.81</v>
      </c>
    </row>
    <row r="57" spans="1:16" ht="15" customHeight="1" x14ac:dyDescent="0.2">
      <c r="A57" s="1">
        <v>2022</v>
      </c>
      <c r="B57" s="4">
        <v>0.71</v>
      </c>
      <c r="C57" s="4">
        <v>0.01</v>
      </c>
      <c r="D57" s="4">
        <v>0.30000000000000004</v>
      </c>
      <c r="E57" s="4">
        <v>0</v>
      </c>
      <c r="F57" s="4">
        <v>0</v>
      </c>
      <c r="G57" s="4">
        <v>4.1099999999999994</v>
      </c>
      <c r="H57" s="4">
        <v>3.9899999999999998</v>
      </c>
      <c r="I57" s="4">
        <v>6.3299999999999992</v>
      </c>
      <c r="J57" s="4">
        <v>1.59</v>
      </c>
      <c r="K57" s="4">
        <v>4.3400000000000007</v>
      </c>
      <c r="L57" s="4">
        <v>0.01</v>
      </c>
      <c r="M57" s="4">
        <v>2.41</v>
      </c>
    </row>
    <row r="58" spans="1:16" ht="15" customHeight="1" x14ac:dyDescent="0.2">
      <c r="A58" s="1">
        <v>2023</v>
      </c>
      <c r="B58" s="1">
        <v>1.05</v>
      </c>
      <c r="C58" s="1">
        <v>1.1299999999999999</v>
      </c>
      <c r="D58" s="1">
        <v>0.76</v>
      </c>
      <c r="E58" s="1">
        <v>0</v>
      </c>
      <c r="F58" s="1">
        <v>1.63</v>
      </c>
      <c r="G58" s="1">
        <v>0.16</v>
      </c>
      <c r="H58" s="1">
        <v>0.87</v>
      </c>
      <c r="I58" s="1">
        <v>1.74</v>
      </c>
      <c r="J58" s="1">
        <v>1.92</v>
      </c>
      <c r="K58" s="1">
        <v>0.32</v>
      </c>
      <c r="L58" s="1">
        <v>0.61</v>
      </c>
      <c r="M58" s="1">
        <v>1.23</v>
      </c>
    </row>
    <row r="59" spans="1:16" ht="15" customHeight="1" x14ac:dyDescent="0.2">
      <c r="A59" s="1">
        <v>2024</v>
      </c>
      <c r="B59" s="1">
        <v>1.47</v>
      </c>
      <c r="C59" s="1">
        <v>2.5499999999999998</v>
      </c>
      <c r="D59" s="1">
        <v>1.03</v>
      </c>
      <c r="E59" s="1">
        <v>0.18</v>
      </c>
      <c r="F59" s="1">
        <v>0.15</v>
      </c>
      <c r="G59" s="1">
        <v>2.48</v>
      </c>
      <c r="H59" s="1">
        <v>2.93</v>
      </c>
      <c r="I59" s="1">
        <v>2.75</v>
      </c>
      <c r="J59" s="1">
        <v>0.44</v>
      </c>
      <c r="K59" s="1">
        <v>0.41</v>
      </c>
      <c r="L59" s="1">
        <v>0.53</v>
      </c>
      <c r="M59" s="1">
        <v>0.03</v>
      </c>
    </row>
    <row r="60" spans="1:16" ht="15" customHeight="1" x14ac:dyDescent="0.2">
      <c r="A60" s="2" t="s">
        <v>6</v>
      </c>
      <c r="B60" s="2"/>
      <c r="C60" s="2" t="s">
        <v>2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6" ht="15" customHeight="1" x14ac:dyDescent="0.2">
      <c r="A61" s="2"/>
      <c r="B61" s="5" t="s">
        <v>123</v>
      </c>
      <c r="C61" s="5" t="s">
        <v>124</v>
      </c>
      <c r="D61" s="5" t="s">
        <v>125</v>
      </c>
      <c r="E61" s="5" t="s">
        <v>126</v>
      </c>
      <c r="F61" s="5" t="s">
        <v>127</v>
      </c>
      <c r="G61" s="5" t="s">
        <v>128</v>
      </c>
      <c r="H61" s="5" t="s">
        <v>129</v>
      </c>
      <c r="I61" s="5" t="s">
        <v>130</v>
      </c>
      <c r="J61" s="5" t="s">
        <v>131</v>
      </c>
      <c r="K61" s="5" t="s">
        <v>132</v>
      </c>
      <c r="L61" s="5" t="s">
        <v>133</v>
      </c>
      <c r="M61" s="5" t="s">
        <v>134</v>
      </c>
    </row>
    <row r="62" spans="1:16" ht="15" customHeight="1" x14ac:dyDescent="0.2">
      <c r="A62" s="1">
        <v>1968</v>
      </c>
      <c r="B62" s="9">
        <v>37.4</v>
      </c>
      <c r="C62" s="9">
        <v>44</v>
      </c>
      <c r="D62" s="9">
        <v>44.6</v>
      </c>
      <c r="E62" s="9">
        <v>48.8</v>
      </c>
      <c r="F62" s="9">
        <v>58</v>
      </c>
      <c r="G62" s="9">
        <v>67.7</v>
      </c>
      <c r="H62" s="9">
        <v>70.3</v>
      </c>
      <c r="I62" s="9">
        <v>67.5</v>
      </c>
      <c r="J62" s="9">
        <v>61.4</v>
      </c>
      <c r="K62" s="9">
        <v>54.6</v>
      </c>
      <c r="L62" s="9">
        <v>43.5</v>
      </c>
      <c r="M62" s="9">
        <v>34.700000000000003</v>
      </c>
    </row>
    <row r="63" spans="1:16" ht="15" customHeight="1" x14ac:dyDescent="0.2">
      <c r="A63" s="1">
        <v>1969</v>
      </c>
      <c r="B63" s="9">
        <v>44</v>
      </c>
      <c r="C63" s="9">
        <v>39.4</v>
      </c>
      <c r="D63" s="9">
        <v>40.700000000000003</v>
      </c>
      <c r="E63" s="9">
        <v>52.2</v>
      </c>
      <c r="F63" s="9">
        <v>58.2</v>
      </c>
      <c r="G63" s="9">
        <v>65.7</v>
      </c>
      <c r="H63" s="9">
        <v>71.599999999999994</v>
      </c>
      <c r="I63" s="9">
        <v>71.3</v>
      </c>
      <c r="J63" s="9">
        <v>63.4</v>
      </c>
      <c r="K63" s="9">
        <v>54.4</v>
      </c>
      <c r="L63" s="9">
        <v>42.4</v>
      </c>
      <c r="M63" s="9">
        <v>36.799999999999997</v>
      </c>
    </row>
    <row r="64" spans="1:16" ht="15" customHeight="1" x14ac:dyDescent="0.2">
      <c r="A64" s="1">
        <v>1970</v>
      </c>
      <c r="B64" s="9">
        <v>34.799999999999997</v>
      </c>
      <c r="C64" s="9">
        <v>41.3</v>
      </c>
      <c r="D64" s="9">
        <v>42.6</v>
      </c>
      <c r="E64" s="9">
        <v>47.2</v>
      </c>
      <c r="F64" s="9">
        <v>58.8</v>
      </c>
      <c r="G64" s="9">
        <v>66.5</v>
      </c>
      <c r="H64" s="9">
        <v>73.099999999999994</v>
      </c>
      <c r="I64" s="9">
        <v>70.5</v>
      </c>
      <c r="J64" s="9">
        <v>64.2</v>
      </c>
      <c r="K64" s="9">
        <v>50.5</v>
      </c>
      <c r="L64" s="9">
        <v>43.9</v>
      </c>
      <c r="M64" s="9">
        <v>36.799999999999997</v>
      </c>
    </row>
    <row r="65" spans="1:13" ht="15" customHeight="1" x14ac:dyDescent="0.2">
      <c r="A65" s="1">
        <v>1971</v>
      </c>
      <c r="B65" s="9">
        <v>35.700000000000003</v>
      </c>
      <c r="C65" s="9">
        <v>39.299999999999997</v>
      </c>
      <c r="D65" s="9">
        <v>44.7</v>
      </c>
      <c r="E65" s="9">
        <v>49.7</v>
      </c>
      <c r="F65" s="9">
        <v>55.4</v>
      </c>
      <c r="G65" s="9">
        <v>66.5</v>
      </c>
      <c r="H65" s="9">
        <v>74</v>
      </c>
      <c r="I65" s="9">
        <v>68.8</v>
      </c>
      <c r="J65" s="9">
        <v>62.8</v>
      </c>
      <c r="K65" s="9">
        <v>52.2</v>
      </c>
      <c r="L65" s="9">
        <v>43.6</v>
      </c>
      <c r="M65" s="9">
        <v>36.799999999999997</v>
      </c>
    </row>
    <row r="66" spans="1:13" ht="15" customHeight="1" x14ac:dyDescent="0.2">
      <c r="A66" s="1">
        <v>1972</v>
      </c>
      <c r="B66" s="9">
        <v>37.299999999999997</v>
      </c>
      <c r="C66" s="9">
        <v>40.299999999999997</v>
      </c>
      <c r="D66" s="9">
        <v>50</v>
      </c>
      <c r="E66" s="9">
        <v>51.8</v>
      </c>
      <c r="F66" s="9">
        <v>57.6</v>
      </c>
      <c r="G66" s="9">
        <v>66.099999999999994</v>
      </c>
      <c r="H66" s="9">
        <v>71.900000000000006</v>
      </c>
      <c r="I66" s="9">
        <v>68.8</v>
      </c>
      <c r="J66" s="9">
        <v>63.4</v>
      </c>
      <c r="K66" s="9">
        <v>56.7</v>
      </c>
      <c r="L66" s="9">
        <v>39.700000000000003</v>
      </c>
      <c r="M66" s="9">
        <v>36.799999999999997</v>
      </c>
    </row>
    <row r="67" spans="1:13" ht="15" customHeight="1" x14ac:dyDescent="0.2">
      <c r="A67" s="1">
        <v>1973</v>
      </c>
      <c r="B67" s="9">
        <v>34.200000000000003</v>
      </c>
      <c r="C67" s="9">
        <v>39.700000000000003</v>
      </c>
      <c r="D67" s="9">
        <v>42.3</v>
      </c>
      <c r="E67" s="9">
        <v>47.1</v>
      </c>
      <c r="F67" s="9">
        <v>58</v>
      </c>
      <c r="G67" s="9">
        <v>65.8</v>
      </c>
      <c r="H67" s="9">
        <v>70</v>
      </c>
      <c r="I67" s="9">
        <v>68.900000000000006</v>
      </c>
      <c r="J67" s="9">
        <v>63.4</v>
      </c>
      <c r="K67" s="9">
        <v>53.6</v>
      </c>
      <c r="L67" s="9">
        <v>43.2</v>
      </c>
      <c r="M67" s="9">
        <v>36.1</v>
      </c>
    </row>
    <row r="68" spans="1:13" ht="15" customHeight="1" x14ac:dyDescent="0.2">
      <c r="A68" s="1">
        <v>1974</v>
      </c>
      <c r="B68" s="9">
        <v>40.299999999999997</v>
      </c>
      <c r="C68" s="9">
        <v>38.200000000000003</v>
      </c>
      <c r="D68" s="9">
        <v>49.9</v>
      </c>
      <c r="E68" s="9">
        <v>54.3</v>
      </c>
      <c r="F68" s="9">
        <v>64</v>
      </c>
      <c r="G68" s="9">
        <v>75.2</v>
      </c>
      <c r="H68" s="9">
        <v>74.8</v>
      </c>
      <c r="I68" s="9">
        <v>72.400000000000006</v>
      </c>
      <c r="J68" s="9">
        <v>67</v>
      </c>
      <c r="K68" s="9">
        <v>58.2</v>
      </c>
      <c r="L68" s="9">
        <v>45.6</v>
      </c>
      <c r="M68" s="9">
        <v>36.799999999999997</v>
      </c>
    </row>
    <row r="69" spans="1:13" ht="15" customHeight="1" x14ac:dyDescent="0.2">
      <c r="A69" s="1">
        <v>1975</v>
      </c>
      <c r="B69" s="9">
        <v>35.4</v>
      </c>
      <c r="C69" s="9">
        <v>38.700000000000003</v>
      </c>
      <c r="D69" s="9">
        <v>43.4</v>
      </c>
      <c r="E69" s="9">
        <v>46.8</v>
      </c>
      <c r="F69" s="9">
        <v>55.5</v>
      </c>
      <c r="G69" s="9">
        <v>64.599999999999994</v>
      </c>
      <c r="H69" s="9">
        <v>70</v>
      </c>
      <c r="I69" s="9">
        <v>69</v>
      </c>
      <c r="J69" s="9">
        <v>62.6</v>
      </c>
      <c r="K69" s="9">
        <v>53.5</v>
      </c>
      <c r="L69" s="9">
        <v>42.2</v>
      </c>
      <c r="M69" s="9">
        <v>36.799999999999997</v>
      </c>
    </row>
    <row r="70" spans="1:13" ht="15" customHeight="1" x14ac:dyDescent="0.2">
      <c r="A70" s="1">
        <v>1976</v>
      </c>
      <c r="B70" s="9">
        <v>35.799999999999997</v>
      </c>
      <c r="C70" s="9">
        <v>43</v>
      </c>
      <c r="D70" s="9">
        <v>43.6</v>
      </c>
      <c r="E70" s="9">
        <v>50.7</v>
      </c>
      <c r="F70" s="9">
        <v>58</v>
      </c>
      <c r="G70" s="9">
        <v>65.7</v>
      </c>
      <c r="H70" s="9">
        <v>69.599999999999994</v>
      </c>
      <c r="I70" s="9">
        <v>69.400000000000006</v>
      </c>
      <c r="J70" s="9">
        <v>62.2</v>
      </c>
      <c r="K70" s="9">
        <v>50.8</v>
      </c>
      <c r="L70" s="9">
        <v>42.7</v>
      </c>
      <c r="M70" s="9">
        <v>34.6</v>
      </c>
    </row>
    <row r="71" spans="1:13" ht="15" customHeight="1" x14ac:dyDescent="0.2">
      <c r="A71" s="1">
        <v>1977</v>
      </c>
      <c r="B71" s="9">
        <v>35.299999999999997</v>
      </c>
      <c r="C71" s="9">
        <v>40.700000000000003</v>
      </c>
      <c r="D71" s="9">
        <v>40.9</v>
      </c>
      <c r="E71" s="9">
        <v>51.1</v>
      </c>
      <c r="F71" s="9">
        <v>56.4</v>
      </c>
      <c r="G71" s="9">
        <v>67.099999999999994</v>
      </c>
      <c r="H71" s="9">
        <v>72.2</v>
      </c>
      <c r="I71" s="9">
        <v>71</v>
      </c>
      <c r="J71" s="9">
        <v>65.7</v>
      </c>
      <c r="K71" s="9">
        <v>55.9</v>
      </c>
      <c r="L71" s="9">
        <v>44.8</v>
      </c>
      <c r="M71" s="9">
        <v>39.799999999999997</v>
      </c>
    </row>
    <row r="72" spans="1:13" ht="15" customHeight="1" x14ac:dyDescent="0.2">
      <c r="A72" s="1">
        <v>1978</v>
      </c>
      <c r="B72" s="9">
        <v>37.9</v>
      </c>
      <c r="C72" s="9">
        <v>39.700000000000003</v>
      </c>
      <c r="D72" s="9">
        <v>47.2</v>
      </c>
      <c r="E72" s="9">
        <v>52.2</v>
      </c>
      <c r="F72" s="9">
        <v>58.3</v>
      </c>
      <c r="G72" s="9">
        <v>67.7</v>
      </c>
      <c r="H72" s="9">
        <v>73.099999999999994</v>
      </c>
      <c r="I72" s="9">
        <v>68.3</v>
      </c>
      <c r="J72" s="9">
        <v>63.5</v>
      </c>
      <c r="K72" s="9">
        <v>55.7</v>
      </c>
      <c r="L72" s="9">
        <v>45.9</v>
      </c>
      <c r="M72" s="9">
        <v>34.799999999999997</v>
      </c>
    </row>
    <row r="73" spans="1:13" ht="15" customHeight="1" x14ac:dyDescent="0.2">
      <c r="A73" s="1">
        <v>1979</v>
      </c>
      <c r="B73" s="9">
        <v>34.200000000000003</v>
      </c>
      <c r="C73" s="9">
        <v>39</v>
      </c>
      <c r="D73" s="9">
        <v>44.8</v>
      </c>
      <c r="E73" s="9">
        <v>51.4</v>
      </c>
      <c r="F73" s="9">
        <v>58.6</v>
      </c>
      <c r="G73" s="9">
        <v>66</v>
      </c>
      <c r="H73" s="9">
        <v>72.900000000000006</v>
      </c>
      <c r="I73" s="9">
        <v>67.8</v>
      </c>
      <c r="J73" s="9">
        <v>65.3</v>
      </c>
      <c r="K73" s="9">
        <v>55.8</v>
      </c>
      <c r="L73" s="9">
        <v>39.799999999999997</v>
      </c>
      <c r="M73" s="9">
        <v>38.299999999999997</v>
      </c>
    </row>
    <row r="74" spans="1:13" ht="15" customHeight="1" x14ac:dyDescent="0.2">
      <c r="A74" s="1">
        <v>1980</v>
      </c>
      <c r="B74" s="9">
        <v>39.299999999999997</v>
      </c>
      <c r="C74" s="9">
        <v>42.9</v>
      </c>
      <c r="D74" s="9">
        <v>43.3</v>
      </c>
      <c r="E74" s="9">
        <v>51.3</v>
      </c>
      <c r="F74" s="9">
        <v>56.8</v>
      </c>
      <c r="G74" s="9">
        <v>68.5</v>
      </c>
      <c r="H74" s="9">
        <v>73.2</v>
      </c>
      <c r="I74" s="9">
        <v>70.3</v>
      </c>
      <c r="J74" s="9">
        <v>65</v>
      </c>
      <c r="K74" s="9">
        <v>51.3</v>
      </c>
      <c r="L74" s="9">
        <v>42.4</v>
      </c>
      <c r="M74" s="9">
        <v>40.5</v>
      </c>
    </row>
    <row r="75" spans="1:13" ht="15" customHeight="1" x14ac:dyDescent="0.2">
      <c r="A75" s="1">
        <v>1981</v>
      </c>
      <c r="B75" s="9">
        <v>40.1</v>
      </c>
      <c r="C75" s="9">
        <v>41.5</v>
      </c>
      <c r="D75" s="9">
        <v>44.4</v>
      </c>
      <c r="E75" s="9">
        <v>55.4</v>
      </c>
      <c r="F75" s="9">
        <v>59.5</v>
      </c>
      <c r="G75" s="9">
        <v>69.8</v>
      </c>
      <c r="H75" s="9">
        <v>72.3</v>
      </c>
      <c r="I75" s="9">
        <v>69.8</v>
      </c>
      <c r="J75" s="9">
        <v>64.5</v>
      </c>
      <c r="K75" s="9">
        <v>55</v>
      </c>
      <c r="L75" s="9">
        <v>45.2</v>
      </c>
      <c r="M75" s="9">
        <v>39.700000000000003</v>
      </c>
    </row>
    <row r="76" spans="1:13" ht="15" customHeight="1" x14ac:dyDescent="0.2">
      <c r="A76" s="1">
        <v>1982</v>
      </c>
      <c r="B76" s="9">
        <v>37.6</v>
      </c>
      <c r="C76" s="9">
        <v>41.6</v>
      </c>
      <c r="D76" s="9">
        <v>45.6</v>
      </c>
      <c r="E76" s="9">
        <v>51.7</v>
      </c>
      <c r="F76" s="9">
        <v>56.9</v>
      </c>
      <c r="G76" s="9">
        <v>63.3</v>
      </c>
      <c r="H76" s="9">
        <v>70.5</v>
      </c>
      <c r="I76" s="9">
        <v>70.2</v>
      </c>
      <c r="J76" s="9">
        <v>64.599999999999994</v>
      </c>
      <c r="K76" s="9">
        <v>51.2</v>
      </c>
      <c r="L76" s="9">
        <v>43.2</v>
      </c>
      <c r="M76" s="9">
        <v>35.299999999999997</v>
      </c>
    </row>
    <row r="77" spans="1:13" ht="15" customHeight="1" x14ac:dyDescent="0.2">
      <c r="A77" s="1">
        <v>1983</v>
      </c>
      <c r="B77" s="9">
        <v>37.799999999999997</v>
      </c>
      <c r="C77" s="9">
        <v>40.700000000000003</v>
      </c>
      <c r="D77" s="9">
        <v>44.9</v>
      </c>
      <c r="E77" s="9">
        <v>47</v>
      </c>
      <c r="F77" s="9">
        <v>57.1</v>
      </c>
      <c r="G77" s="9">
        <v>64.5</v>
      </c>
      <c r="H77" s="9">
        <v>71.400000000000006</v>
      </c>
      <c r="I77" s="9">
        <v>71.2</v>
      </c>
      <c r="J77" s="9">
        <v>67.599999999999994</v>
      </c>
      <c r="K77" s="9">
        <v>56.1</v>
      </c>
      <c r="L77" s="9">
        <v>44</v>
      </c>
      <c r="M77" s="9">
        <v>39.299999999999997</v>
      </c>
    </row>
    <row r="78" spans="1:13" ht="15" customHeight="1" x14ac:dyDescent="0.2">
      <c r="A78" s="1">
        <v>1984</v>
      </c>
      <c r="B78" s="9">
        <v>38.799999999999997</v>
      </c>
      <c r="C78" s="9">
        <v>38.5</v>
      </c>
      <c r="D78" s="9">
        <v>45.4</v>
      </c>
      <c r="E78" s="9">
        <v>50.5</v>
      </c>
      <c r="F78" s="9">
        <v>62.6</v>
      </c>
      <c r="G78" s="9">
        <v>67.400000000000006</v>
      </c>
      <c r="H78" s="9">
        <v>70.599999999999994</v>
      </c>
      <c r="I78" s="9">
        <v>69.5</v>
      </c>
      <c r="J78" s="9">
        <v>64.8</v>
      </c>
      <c r="K78" s="9">
        <v>52.1</v>
      </c>
      <c r="L78" s="9">
        <v>42.8</v>
      </c>
      <c r="M78" s="9">
        <v>39.200000000000003</v>
      </c>
    </row>
    <row r="79" spans="1:13" ht="15" customHeight="1" x14ac:dyDescent="0.2">
      <c r="A79" s="1">
        <v>1985</v>
      </c>
      <c r="B79" s="9">
        <v>36.799999999999997</v>
      </c>
      <c r="C79" s="9">
        <v>39.200000000000003</v>
      </c>
      <c r="D79" s="9">
        <v>47</v>
      </c>
      <c r="E79" s="9">
        <v>53.9</v>
      </c>
      <c r="F79" s="9">
        <v>59.9</v>
      </c>
      <c r="G79" s="9">
        <v>63.4</v>
      </c>
      <c r="H79" s="9">
        <v>72.7</v>
      </c>
      <c r="I79" s="9">
        <v>70.7</v>
      </c>
      <c r="J79" s="9">
        <v>62.4</v>
      </c>
      <c r="K79" s="9">
        <v>53.8</v>
      </c>
      <c r="L79" s="9">
        <v>44.8</v>
      </c>
      <c r="M79" s="9">
        <v>37.6</v>
      </c>
    </row>
    <row r="80" spans="1:13" ht="15" customHeight="1" x14ac:dyDescent="0.2">
      <c r="A80" s="1">
        <v>1986</v>
      </c>
      <c r="B80" s="9">
        <v>40.6</v>
      </c>
      <c r="C80" s="9">
        <v>42.2</v>
      </c>
      <c r="D80" s="9">
        <v>47.6</v>
      </c>
      <c r="E80" s="9">
        <v>53.4</v>
      </c>
      <c r="F80" s="9">
        <v>58.7</v>
      </c>
      <c r="G80" s="9">
        <v>68.400000000000006</v>
      </c>
      <c r="H80" s="9">
        <v>69.8</v>
      </c>
      <c r="I80" s="9">
        <v>71.2</v>
      </c>
      <c r="J80" s="9">
        <v>61.6</v>
      </c>
      <c r="K80" s="9">
        <v>52.3</v>
      </c>
      <c r="L80" s="9">
        <v>44.2</v>
      </c>
      <c r="M80" s="9">
        <v>36.4</v>
      </c>
    </row>
    <row r="81" spans="1:13" ht="15" customHeight="1" x14ac:dyDescent="0.2">
      <c r="A81" s="1">
        <v>1987</v>
      </c>
      <c r="B81" s="9">
        <v>35.6</v>
      </c>
      <c r="C81" s="9">
        <v>38.9</v>
      </c>
      <c r="D81" s="9">
        <v>42.6</v>
      </c>
      <c r="E81" s="9">
        <v>52.8</v>
      </c>
      <c r="F81" s="9">
        <v>57.4</v>
      </c>
      <c r="G81" s="9">
        <v>67.7</v>
      </c>
      <c r="H81" s="9">
        <v>69.8</v>
      </c>
      <c r="I81" s="9">
        <v>68.8</v>
      </c>
      <c r="J81" s="9">
        <v>62</v>
      </c>
      <c r="K81" s="9">
        <v>56.4</v>
      </c>
      <c r="L81" s="9">
        <v>42</v>
      </c>
      <c r="M81" s="9">
        <v>34.5</v>
      </c>
    </row>
    <row r="82" spans="1:13" ht="15" customHeight="1" x14ac:dyDescent="0.2">
      <c r="A82" s="1">
        <v>1988</v>
      </c>
      <c r="B82" s="9">
        <v>35.299999999999997</v>
      </c>
      <c r="C82" s="9">
        <v>42.7</v>
      </c>
      <c r="D82" s="9">
        <v>43.6</v>
      </c>
      <c r="E82" s="9">
        <v>51.1</v>
      </c>
      <c r="F82" s="9">
        <v>58.9</v>
      </c>
      <c r="G82" s="9">
        <v>67.5</v>
      </c>
      <c r="H82" s="9">
        <v>71.099999999999994</v>
      </c>
      <c r="I82" s="9">
        <v>69.900000000000006</v>
      </c>
      <c r="J82" s="9">
        <v>61.2</v>
      </c>
      <c r="K82" s="9">
        <v>57.3</v>
      </c>
      <c r="L82" s="9">
        <v>44.2</v>
      </c>
      <c r="M82" s="9">
        <v>37.5</v>
      </c>
    </row>
    <row r="83" spans="1:13" ht="15" customHeight="1" x14ac:dyDescent="0.2">
      <c r="A83" s="1">
        <v>1989</v>
      </c>
      <c r="B83" s="9">
        <v>36.700000000000003</v>
      </c>
      <c r="C83" s="9">
        <v>43.7</v>
      </c>
      <c r="D83" s="9">
        <v>49.1</v>
      </c>
      <c r="E83" s="9">
        <v>56.1</v>
      </c>
      <c r="F83" s="9">
        <v>60.9</v>
      </c>
      <c r="G83" s="9">
        <v>67</v>
      </c>
      <c r="H83" s="9">
        <v>72.400000000000006</v>
      </c>
      <c r="I83" s="9">
        <v>69</v>
      </c>
      <c r="J83" s="9">
        <v>63.4</v>
      </c>
      <c r="K83" s="9">
        <v>53.6</v>
      </c>
      <c r="L83" s="9">
        <v>44.1</v>
      </c>
      <c r="M83" s="9">
        <v>35.9</v>
      </c>
    </row>
    <row r="84" spans="1:13" ht="15" customHeight="1" x14ac:dyDescent="0.2">
      <c r="A84" s="1">
        <v>1990</v>
      </c>
      <c r="B84" s="9">
        <v>36</v>
      </c>
      <c r="C84" s="9">
        <v>38.9</v>
      </c>
      <c r="D84" s="9">
        <v>46.9</v>
      </c>
      <c r="E84" s="9">
        <v>54.9</v>
      </c>
      <c r="F84" s="9">
        <v>59</v>
      </c>
      <c r="G84" s="9">
        <v>71</v>
      </c>
      <c r="H84" s="9">
        <v>71</v>
      </c>
      <c r="I84" s="9">
        <v>67.400000000000006</v>
      </c>
      <c r="J84" s="9">
        <v>65.7</v>
      </c>
      <c r="K84" s="9">
        <v>53.8</v>
      </c>
      <c r="L84" s="9">
        <v>44.4</v>
      </c>
      <c r="M84" s="9">
        <v>34.700000000000003</v>
      </c>
    </row>
    <row r="85" spans="1:13" ht="15" customHeight="1" x14ac:dyDescent="0.2">
      <c r="A85" s="1">
        <v>1991</v>
      </c>
      <c r="B85" s="9">
        <v>36.700000000000003</v>
      </c>
      <c r="C85" s="9">
        <v>41.1</v>
      </c>
      <c r="D85" s="9">
        <v>42.1</v>
      </c>
      <c r="E85" s="9">
        <v>49.5</v>
      </c>
      <c r="F85" s="9">
        <v>56.8</v>
      </c>
      <c r="G85" s="9">
        <v>63.4</v>
      </c>
      <c r="H85" s="9">
        <v>69.599999999999994</v>
      </c>
      <c r="I85" s="9">
        <v>69.2</v>
      </c>
      <c r="J85" s="9">
        <v>63</v>
      </c>
      <c r="K85" s="9">
        <v>53.2</v>
      </c>
      <c r="L85" s="9">
        <v>42.9</v>
      </c>
      <c r="M85" s="9">
        <v>38</v>
      </c>
    </row>
    <row r="86" spans="1:13" ht="15" customHeight="1" x14ac:dyDescent="0.2">
      <c r="A86" s="1">
        <v>1992</v>
      </c>
      <c r="B86" s="9">
        <v>34.4</v>
      </c>
      <c r="C86" s="9">
        <v>40.5</v>
      </c>
      <c r="D86" s="9">
        <v>45</v>
      </c>
      <c r="E86" s="9">
        <v>53.4</v>
      </c>
      <c r="F86" s="9">
        <v>58.5</v>
      </c>
      <c r="G86" s="9">
        <v>63.4</v>
      </c>
      <c r="H86" s="9">
        <v>68.900000000000006</v>
      </c>
      <c r="I86" s="9">
        <v>68.400000000000006</v>
      </c>
      <c r="J86" s="9">
        <v>63.1</v>
      </c>
      <c r="K86" s="9">
        <v>54.2</v>
      </c>
      <c r="L86" s="9">
        <v>38</v>
      </c>
      <c r="M86" s="9">
        <v>36.9</v>
      </c>
    </row>
    <row r="87" spans="1:13" ht="15" customHeight="1" x14ac:dyDescent="0.2">
      <c r="A87" s="1">
        <v>1993</v>
      </c>
      <c r="B87" s="9">
        <v>41</v>
      </c>
      <c r="C87" s="9">
        <v>39.799999999999997</v>
      </c>
      <c r="D87" s="9">
        <v>45.4</v>
      </c>
      <c r="E87" s="9">
        <v>50.9</v>
      </c>
      <c r="F87" s="9">
        <v>58.7</v>
      </c>
      <c r="G87" s="9">
        <v>64.900000000000006</v>
      </c>
      <c r="H87" s="9">
        <v>70.2</v>
      </c>
      <c r="I87" s="9">
        <v>69.2</v>
      </c>
      <c r="J87" s="9">
        <v>62.1</v>
      </c>
      <c r="K87" s="9">
        <v>52.4</v>
      </c>
      <c r="L87" s="9">
        <v>41.5</v>
      </c>
      <c r="M87" s="9">
        <v>36.1</v>
      </c>
    </row>
    <row r="88" spans="1:13" ht="15" customHeight="1" x14ac:dyDescent="0.2">
      <c r="A88" s="1">
        <v>1994</v>
      </c>
      <c r="B88" s="9">
        <v>36.200000000000003</v>
      </c>
      <c r="C88" s="9">
        <v>38.5</v>
      </c>
      <c r="D88" s="9">
        <v>46.7</v>
      </c>
      <c r="E88" s="9">
        <v>51</v>
      </c>
      <c r="F88" s="9">
        <v>58.2</v>
      </c>
      <c r="G88" s="9">
        <v>69.3</v>
      </c>
      <c r="H88" s="9">
        <v>70.900000000000006</v>
      </c>
      <c r="I88" s="9">
        <v>72</v>
      </c>
      <c r="J88" s="9">
        <v>65.2</v>
      </c>
      <c r="K88" s="9">
        <v>52.7</v>
      </c>
      <c r="L88" s="9">
        <v>43.9</v>
      </c>
      <c r="M88" s="9">
        <v>39.9</v>
      </c>
    </row>
    <row r="89" spans="1:13" ht="15" customHeight="1" x14ac:dyDescent="0.2">
      <c r="A89" s="1">
        <v>1995</v>
      </c>
      <c r="B89" s="9">
        <v>36.799999999999997</v>
      </c>
      <c r="C89" s="9">
        <v>44.7</v>
      </c>
      <c r="D89" s="9">
        <v>46.8</v>
      </c>
      <c r="E89" s="9">
        <v>48.5</v>
      </c>
      <c r="F89" s="9">
        <v>56</v>
      </c>
      <c r="G89" s="9">
        <v>63.5</v>
      </c>
      <c r="H89" s="9">
        <v>68.599999999999994</v>
      </c>
      <c r="I89" s="9">
        <v>69.8</v>
      </c>
      <c r="J89" s="9">
        <v>63.6</v>
      </c>
      <c r="K89" s="9">
        <v>53.4</v>
      </c>
      <c r="L89" s="9">
        <v>46.9</v>
      </c>
      <c r="M89" s="9">
        <v>37.9</v>
      </c>
    </row>
    <row r="90" spans="1:13" ht="15" customHeight="1" x14ac:dyDescent="0.2">
      <c r="A90" s="1">
        <v>1996</v>
      </c>
      <c r="B90" s="9">
        <v>37.200000000000003</v>
      </c>
      <c r="C90" s="9">
        <v>45.1</v>
      </c>
      <c r="D90" s="9">
        <v>44</v>
      </c>
      <c r="E90" s="9">
        <v>51.5</v>
      </c>
      <c r="F90" s="9">
        <v>60.2</v>
      </c>
      <c r="G90" s="9">
        <v>68.099999999999994</v>
      </c>
      <c r="H90" s="9">
        <v>71.3</v>
      </c>
      <c r="I90" s="9">
        <v>68.7</v>
      </c>
      <c r="J90" s="9">
        <v>61.3</v>
      </c>
      <c r="K90" s="9">
        <v>53.2</v>
      </c>
      <c r="L90" s="9">
        <v>43.6</v>
      </c>
      <c r="M90" s="9">
        <v>37.299999999999997</v>
      </c>
    </row>
    <row r="91" spans="1:13" ht="15" customHeight="1" x14ac:dyDescent="0.2">
      <c r="A91" s="1">
        <v>1997</v>
      </c>
      <c r="B91" s="9">
        <v>36.5</v>
      </c>
      <c r="C91" s="9">
        <v>39</v>
      </c>
      <c r="D91" s="9">
        <v>46.1</v>
      </c>
      <c r="E91" s="9">
        <v>49</v>
      </c>
      <c r="F91" s="9">
        <v>60</v>
      </c>
      <c r="G91" s="9">
        <v>63.7</v>
      </c>
      <c r="H91" s="9">
        <v>69.099999999999994</v>
      </c>
      <c r="I91" s="9">
        <v>69.400000000000006</v>
      </c>
      <c r="J91" s="9">
        <v>66.900000000000006</v>
      </c>
      <c r="K91" s="9">
        <v>52.5</v>
      </c>
      <c r="L91" s="9">
        <v>43.8</v>
      </c>
      <c r="M91" s="9">
        <v>34.200000000000003</v>
      </c>
    </row>
    <row r="92" spans="1:13" ht="15" customHeight="1" x14ac:dyDescent="0.2">
      <c r="A92" s="1">
        <v>1998</v>
      </c>
      <c r="B92" s="9">
        <v>37.799999999999997</v>
      </c>
      <c r="C92" s="9">
        <v>37.9</v>
      </c>
      <c r="D92" s="9">
        <v>43.6</v>
      </c>
      <c r="E92" s="9">
        <v>46</v>
      </c>
      <c r="F92" s="9">
        <v>56.2</v>
      </c>
      <c r="G92" s="9">
        <v>63.8</v>
      </c>
      <c r="H92" s="9">
        <v>70.900000000000006</v>
      </c>
      <c r="I92" s="9">
        <v>69.099999999999994</v>
      </c>
      <c r="J92" s="9">
        <v>65.2</v>
      </c>
      <c r="K92" s="9">
        <v>54.5</v>
      </c>
      <c r="L92" s="9">
        <v>45.3</v>
      </c>
      <c r="M92" s="9">
        <v>38.6</v>
      </c>
    </row>
    <row r="93" spans="1:13" ht="15" customHeight="1" x14ac:dyDescent="0.2">
      <c r="A93" s="1">
        <v>1999</v>
      </c>
      <c r="B93" s="9">
        <v>38.5</v>
      </c>
      <c r="C93" s="9">
        <v>40.9</v>
      </c>
      <c r="D93" s="9">
        <v>45.6</v>
      </c>
      <c r="E93" s="9">
        <v>48.6</v>
      </c>
      <c r="F93" s="9">
        <v>57.1</v>
      </c>
      <c r="G93" s="9">
        <v>63.9</v>
      </c>
      <c r="H93" s="9">
        <v>70.099999999999994</v>
      </c>
      <c r="I93" s="9">
        <v>68.2</v>
      </c>
      <c r="J93" s="9">
        <v>64</v>
      </c>
      <c r="K93" s="9">
        <v>53.4</v>
      </c>
      <c r="L93" s="9">
        <v>45.6</v>
      </c>
      <c r="M93" s="9">
        <v>33.5</v>
      </c>
    </row>
    <row r="94" spans="1:13" ht="15" customHeight="1" x14ac:dyDescent="0.2">
      <c r="A94" s="1">
        <v>2000</v>
      </c>
      <c r="B94" s="9">
        <v>38.5</v>
      </c>
      <c r="C94" s="9">
        <v>42.3</v>
      </c>
      <c r="D94" s="9">
        <v>45</v>
      </c>
      <c r="E94" s="9">
        <v>53.5</v>
      </c>
      <c r="F94" s="9">
        <v>61.8</v>
      </c>
      <c r="G94" s="9">
        <v>67.8</v>
      </c>
      <c r="H94" s="9">
        <v>71</v>
      </c>
      <c r="I94" s="9">
        <v>69.400000000000006</v>
      </c>
      <c r="J94" s="9">
        <v>64.400000000000006</v>
      </c>
      <c r="K94" s="9">
        <v>53.6</v>
      </c>
      <c r="L94" s="9">
        <v>38.6</v>
      </c>
      <c r="M94" s="9">
        <v>37.6</v>
      </c>
    </row>
    <row r="95" spans="1:13" ht="15" customHeight="1" x14ac:dyDescent="0.2">
      <c r="A95" s="1">
        <v>2001</v>
      </c>
      <c r="B95" s="9">
        <v>34.5</v>
      </c>
      <c r="C95" s="9">
        <v>39.4</v>
      </c>
      <c r="D95" s="9">
        <v>44.4</v>
      </c>
      <c r="E95" s="9">
        <v>51.9</v>
      </c>
      <c r="F95" s="9">
        <v>59.8</v>
      </c>
      <c r="G95" s="9">
        <v>66.5</v>
      </c>
      <c r="H95" s="9">
        <v>70.5</v>
      </c>
      <c r="I95" s="9">
        <v>68.099999999999994</v>
      </c>
      <c r="J95" s="9">
        <v>62.9</v>
      </c>
      <c r="K95" s="9">
        <v>54.8</v>
      </c>
      <c r="L95" s="9">
        <v>45.6</v>
      </c>
      <c r="M95" s="9">
        <v>33.9</v>
      </c>
    </row>
    <row r="96" spans="1:13" ht="15" customHeight="1" x14ac:dyDescent="0.2">
      <c r="A96" s="1">
        <v>2002</v>
      </c>
      <c r="B96" s="9">
        <v>36.4</v>
      </c>
      <c r="C96" s="9">
        <v>43.5</v>
      </c>
      <c r="D96" s="9">
        <v>43.5</v>
      </c>
      <c r="E96" s="9">
        <v>54.7</v>
      </c>
      <c r="F96" s="9">
        <v>57.5</v>
      </c>
      <c r="G96" s="9">
        <v>67.7</v>
      </c>
      <c r="H96" s="9">
        <v>70.8</v>
      </c>
      <c r="I96" s="9">
        <v>68.400000000000006</v>
      </c>
      <c r="J96" s="9">
        <v>63.1</v>
      </c>
      <c r="K96" s="9">
        <v>52.2</v>
      </c>
      <c r="L96" s="9">
        <v>43</v>
      </c>
      <c r="M96" s="9">
        <v>35.799999999999997</v>
      </c>
    </row>
    <row r="97" spans="1:13" ht="15" customHeight="1" x14ac:dyDescent="0.2">
      <c r="A97" s="1">
        <v>2003</v>
      </c>
      <c r="B97" s="9">
        <v>40.799999999999997</v>
      </c>
      <c r="C97" s="9">
        <v>39.799999999999997</v>
      </c>
      <c r="D97" s="9">
        <v>43.5</v>
      </c>
      <c r="E97" s="9">
        <v>49.4</v>
      </c>
      <c r="F97" s="9">
        <v>59.7</v>
      </c>
      <c r="G97" s="9">
        <v>64.3</v>
      </c>
      <c r="H97" s="9">
        <v>72</v>
      </c>
      <c r="I97" s="9">
        <v>70.400000000000006</v>
      </c>
      <c r="J97" s="9">
        <v>64.599999999999994</v>
      </c>
      <c r="K97" s="9">
        <v>56.9</v>
      </c>
      <c r="L97" s="9">
        <v>43.1</v>
      </c>
      <c r="M97" s="9">
        <v>35.799999999999997</v>
      </c>
    </row>
    <row r="98" spans="1:13" ht="15" customHeight="1" x14ac:dyDescent="0.2">
      <c r="A98" s="1">
        <v>2004</v>
      </c>
      <c r="B98" s="9">
        <v>36.799999999999997</v>
      </c>
      <c r="C98" s="9">
        <v>35.6</v>
      </c>
      <c r="D98" s="9">
        <v>48.1</v>
      </c>
      <c r="E98" s="9">
        <v>49.3</v>
      </c>
      <c r="F98" s="9">
        <v>57.4</v>
      </c>
      <c r="G98" s="9">
        <v>63.3</v>
      </c>
      <c r="H98" s="9">
        <v>69.099999999999994</v>
      </c>
      <c r="I98" s="9">
        <v>67.099999999999994</v>
      </c>
      <c r="J98" s="9">
        <v>59.9</v>
      </c>
      <c r="K98" s="9">
        <v>52.1</v>
      </c>
      <c r="L98" s="9">
        <v>42.1</v>
      </c>
      <c r="M98" s="9">
        <v>36.5</v>
      </c>
    </row>
    <row r="99" spans="1:13" ht="15" customHeight="1" x14ac:dyDescent="0.2">
      <c r="A99" s="1">
        <v>2005</v>
      </c>
      <c r="B99" s="9">
        <v>40</v>
      </c>
      <c r="C99" s="9">
        <v>41.8</v>
      </c>
      <c r="D99" s="9">
        <v>43.7</v>
      </c>
      <c r="E99" s="9">
        <v>50</v>
      </c>
      <c r="F99" s="9">
        <v>59.5</v>
      </c>
      <c r="G99" s="9">
        <v>64.3</v>
      </c>
      <c r="H99" s="9">
        <v>70.5</v>
      </c>
      <c r="I99" s="9">
        <v>69.099999999999994</v>
      </c>
      <c r="J99" s="9">
        <v>64.599999999999994</v>
      </c>
      <c r="K99" s="9">
        <v>54.9</v>
      </c>
      <c r="L99" s="9">
        <v>43.8</v>
      </c>
      <c r="M99" s="9">
        <v>37.270000000000003</v>
      </c>
    </row>
    <row r="100" spans="1:13" ht="15" customHeight="1" x14ac:dyDescent="0.2">
      <c r="A100" s="1">
        <v>2006</v>
      </c>
      <c r="B100" s="9">
        <v>37</v>
      </c>
      <c r="C100" s="9">
        <v>40.700000000000003</v>
      </c>
      <c r="D100" s="9">
        <v>43.9</v>
      </c>
      <c r="E100" s="9">
        <v>52.4</v>
      </c>
      <c r="F100" s="9">
        <v>59.9</v>
      </c>
      <c r="G100" s="9">
        <v>67.8</v>
      </c>
      <c r="H100" s="9">
        <v>71</v>
      </c>
      <c r="I100" s="9">
        <v>68.2</v>
      </c>
      <c r="J100" s="9">
        <v>60.2</v>
      </c>
      <c r="K100" s="9">
        <v>52.6</v>
      </c>
      <c r="L100" s="9">
        <v>43.8</v>
      </c>
      <c r="M100" s="9">
        <v>35.5</v>
      </c>
    </row>
    <row r="101" spans="1:13" ht="15" customHeight="1" x14ac:dyDescent="0.2">
      <c r="A101" s="1">
        <v>2007</v>
      </c>
      <c r="B101" s="9">
        <v>35.1</v>
      </c>
      <c r="C101" s="9">
        <v>39.700000000000003</v>
      </c>
      <c r="D101" s="9">
        <v>42.5</v>
      </c>
      <c r="E101" s="9">
        <v>49.7</v>
      </c>
      <c r="F101" s="9">
        <v>56.6</v>
      </c>
      <c r="G101" s="9">
        <v>66.3</v>
      </c>
      <c r="H101" s="9">
        <v>71.8</v>
      </c>
      <c r="I101" s="9">
        <v>69.599999999999994</v>
      </c>
      <c r="J101" s="9">
        <v>59.4</v>
      </c>
      <c r="K101" s="9">
        <v>53</v>
      </c>
      <c r="L101" s="9">
        <v>47.1</v>
      </c>
      <c r="M101" s="9">
        <v>35</v>
      </c>
    </row>
    <row r="102" spans="1:13" ht="15" customHeight="1" x14ac:dyDescent="0.2">
      <c r="A102" s="1">
        <v>2008</v>
      </c>
      <c r="B102" s="9">
        <f>32.47+2</f>
        <v>34.47</v>
      </c>
      <c r="C102" s="9">
        <f>36.93+2</f>
        <v>38.93</v>
      </c>
      <c r="D102" s="9">
        <f>39.7+2</f>
        <v>41.7</v>
      </c>
      <c r="E102" s="9">
        <f>44.9+2</f>
        <v>46.9</v>
      </c>
      <c r="F102" s="9">
        <f>51.2+2</f>
        <v>53.2</v>
      </c>
      <c r="G102" s="9">
        <f>63.9+2</f>
        <v>65.900000000000006</v>
      </c>
      <c r="H102" s="9">
        <f>66.4+2</f>
        <v>68.400000000000006</v>
      </c>
      <c r="I102" s="9">
        <f>65.7+2</f>
        <v>67.7</v>
      </c>
      <c r="J102" s="9">
        <f>64.9-2</f>
        <v>62.900000000000006</v>
      </c>
      <c r="K102" s="9">
        <f>55.6-2</f>
        <v>53.6</v>
      </c>
      <c r="L102" s="9">
        <f>44.8-2</f>
        <v>42.8</v>
      </c>
      <c r="M102" s="9">
        <f>39-2</f>
        <v>37</v>
      </c>
    </row>
    <row r="103" spans="1:13" ht="15" customHeight="1" x14ac:dyDescent="0.2">
      <c r="A103" s="1">
        <v>2009</v>
      </c>
      <c r="B103" s="9">
        <v>36.5</v>
      </c>
      <c r="C103" s="9">
        <v>39.200000000000003</v>
      </c>
      <c r="D103" s="9">
        <v>45.2</v>
      </c>
      <c r="E103" s="9">
        <v>49.1</v>
      </c>
      <c r="F103" s="9">
        <v>61.1</v>
      </c>
      <c r="G103" s="9">
        <v>66.7</v>
      </c>
      <c r="H103" s="9">
        <v>73.900000000000006</v>
      </c>
      <c r="I103" s="9">
        <v>72.8</v>
      </c>
      <c r="J103" s="9">
        <v>64.099999999999994</v>
      </c>
      <c r="K103" s="9">
        <v>52.7</v>
      </c>
      <c r="L103" s="9">
        <v>43.9</v>
      </c>
      <c r="M103" s="9">
        <v>33.799999999999997</v>
      </c>
    </row>
    <row r="104" spans="1:13" ht="15" customHeight="1" x14ac:dyDescent="0.2">
      <c r="A104" s="1">
        <v>2010</v>
      </c>
      <c r="B104" s="9">
        <v>34.1</v>
      </c>
      <c r="C104" s="9">
        <v>37.799999999999997</v>
      </c>
      <c r="D104" s="9">
        <v>42.5</v>
      </c>
      <c r="E104" s="9">
        <v>51.6</v>
      </c>
      <c r="F104" s="9">
        <v>56.4</v>
      </c>
      <c r="G104" s="9">
        <v>67.400000000000006</v>
      </c>
      <c r="H104" s="9">
        <v>71.3</v>
      </c>
      <c r="I104" s="9">
        <v>71.400000000000006</v>
      </c>
      <c r="J104" s="9">
        <v>67</v>
      </c>
      <c r="K104" s="9">
        <v>54.7</v>
      </c>
      <c r="L104" s="9">
        <v>40.4</v>
      </c>
      <c r="M104" s="9">
        <v>39.6</v>
      </c>
    </row>
    <row r="105" spans="1:13" ht="15" customHeight="1" x14ac:dyDescent="0.2">
      <c r="A105" s="1">
        <v>2011</v>
      </c>
      <c r="B105" s="9">
        <v>33.6</v>
      </c>
      <c r="C105" s="9">
        <v>36.700000000000003</v>
      </c>
      <c r="D105" s="9">
        <v>47.1</v>
      </c>
      <c r="E105" s="9">
        <v>54</v>
      </c>
      <c r="F105" s="9">
        <v>55.7</v>
      </c>
      <c r="G105" s="9">
        <v>67.5</v>
      </c>
      <c r="H105" s="9">
        <v>73.5</v>
      </c>
      <c r="I105" s="9">
        <v>73.7</v>
      </c>
      <c r="J105" s="9">
        <v>65.400000000000006</v>
      </c>
      <c r="K105" s="9">
        <v>54.5</v>
      </c>
      <c r="L105" s="9">
        <v>43.2</v>
      </c>
      <c r="M105" s="9">
        <v>34</v>
      </c>
    </row>
    <row r="106" spans="1:13" ht="15" customHeight="1" x14ac:dyDescent="0.2">
      <c r="A106" s="1">
        <v>2012</v>
      </c>
      <c r="B106" s="9">
        <v>39.4</v>
      </c>
      <c r="C106" s="9">
        <v>39.700000000000003</v>
      </c>
      <c r="D106" s="9">
        <v>44.5</v>
      </c>
      <c r="E106" s="9">
        <v>53.9</v>
      </c>
      <c r="F106" s="9">
        <v>59.7</v>
      </c>
      <c r="G106" s="9">
        <v>69.3</v>
      </c>
      <c r="H106" s="9">
        <v>71.8</v>
      </c>
      <c r="I106" s="9">
        <v>72</v>
      </c>
      <c r="J106" s="9">
        <v>64.3</v>
      </c>
      <c r="K106" s="9">
        <v>54.5</v>
      </c>
      <c r="L106" s="9">
        <v>44.8</v>
      </c>
      <c r="M106" s="9">
        <v>36.4</v>
      </c>
    </row>
    <row r="107" spans="1:13" ht="15" customHeight="1" x14ac:dyDescent="0.2">
      <c r="A107" s="1">
        <v>2013</v>
      </c>
      <c r="B107" s="9">
        <v>32.200000000000003</v>
      </c>
      <c r="C107" s="9">
        <v>35.5</v>
      </c>
      <c r="D107" s="9">
        <v>46.9</v>
      </c>
      <c r="E107" s="9">
        <v>53.2</v>
      </c>
      <c r="F107" s="9">
        <v>58.3</v>
      </c>
      <c r="G107" s="9">
        <v>69.900000000000006</v>
      </c>
      <c r="H107" s="9">
        <v>72.2</v>
      </c>
      <c r="I107" s="9">
        <v>70.599999999999994</v>
      </c>
      <c r="J107" s="9">
        <v>65.2</v>
      </c>
      <c r="K107" s="9">
        <v>51.2</v>
      </c>
      <c r="L107" s="9">
        <v>44.4</v>
      </c>
      <c r="M107" s="9">
        <v>37.200000000000003</v>
      </c>
    </row>
    <row r="108" spans="1:13" ht="15" customHeight="1" x14ac:dyDescent="0.2">
      <c r="A108" s="1">
        <v>2014</v>
      </c>
      <c r="B108" s="9">
        <v>38</v>
      </c>
      <c r="C108" s="9">
        <v>43.2</v>
      </c>
      <c r="D108" s="9">
        <v>46</v>
      </c>
      <c r="E108" s="9">
        <v>51.9</v>
      </c>
      <c r="F108" s="9">
        <v>58.6</v>
      </c>
      <c r="G108" s="9">
        <v>68.599999999999994</v>
      </c>
      <c r="H108" s="9">
        <v>72.400000000000006</v>
      </c>
      <c r="I108" s="9">
        <v>69.400000000000006</v>
      </c>
      <c r="J108" s="9">
        <v>67.599999999999994</v>
      </c>
      <c r="K108" s="9">
        <v>56.4</v>
      </c>
      <c r="L108" s="9">
        <v>42.8</v>
      </c>
      <c r="M108" s="9">
        <v>38.6</v>
      </c>
    </row>
    <row r="109" spans="1:13" ht="15" customHeight="1" x14ac:dyDescent="0.2">
      <c r="A109" s="1">
        <v>2015</v>
      </c>
      <c r="B109" s="9">
        <v>38.700000000000003</v>
      </c>
      <c r="C109" s="9">
        <v>44.8</v>
      </c>
      <c r="D109" s="9">
        <v>48.3</v>
      </c>
      <c r="E109" s="9">
        <v>50.9</v>
      </c>
      <c r="F109" s="9">
        <v>56.5</v>
      </c>
      <c r="G109" s="9">
        <v>69.900000000000006</v>
      </c>
      <c r="H109" s="9">
        <v>71.3</v>
      </c>
      <c r="I109" s="9">
        <v>71.599999999999994</v>
      </c>
      <c r="J109" s="9">
        <v>66.3</v>
      </c>
      <c r="K109" s="9">
        <v>57</v>
      </c>
      <c r="L109" s="9">
        <v>43.4</v>
      </c>
      <c r="M109" s="9">
        <v>35.5</v>
      </c>
    </row>
    <row r="110" spans="1:13" ht="15" customHeight="1" x14ac:dyDescent="0.2">
      <c r="A110" s="1">
        <v>2016</v>
      </c>
      <c r="B110" s="9">
        <v>35.4</v>
      </c>
      <c r="C110" s="9">
        <v>42</v>
      </c>
      <c r="D110" s="9">
        <v>47.3</v>
      </c>
      <c r="E110" s="9">
        <v>51.8</v>
      </c>
      <c r="F110" s="9">
        <v>56.8</v>
      </c>
      <c r="G110" s="9">
        <v>69.8</v>
      </c>
      <c r="H110" s="9">
        <v>72.599999999999994</v>
      </c>
      <c r="I110" s="9">
        <v>68.2</v>
      </c>
      <c r="J110" s="9">
        <v>64.3</v>
      </c>
      <c r="K110" s="9">
        <v>56.8</v>
      </c>
      <c r="L110" s="9">
        <v>45.7</v>
      </c>
      <c r="M110" s="9">
        <v>40.4</v>
      </c>
    </row>
    <row r="111" spans="1:13" ht="15" customHeight="1" x14ac:dyDescent="0.2">
      <c r="A111" s="1">
        <v>2017</v>
      </c>
      <c r="B111" s="9">
        <v>38</v>
      </c>
      <c r="C111" s="9">
        <v>42.7</v>
      </c>
      <c r="D111" s="9">
        <v>49.9</v>
      </c>
      <c r="E111" s="9">
        <v>52.5</v>
      </c>
      <c r="F111" s="9">
        <v>57.3</v>
      </c>
      <c r="G111" s="9">
        <v>68.900000000000006</v>
      </c>
      <c r="H111" s="9">
        <v>72</v>
      </c>
      <c r="I111" s="9">
        <v>69.2</v>
      </c>
      <c r="J111" s="9">
        <v>63.5</v>
      </c>
      <c r="K111" s="9">
        <v>56.1</v>
      </c>
      <c r="L111" s="9">
        <v>50.5</v>
      </c>
      <c r="M111" s="9">
        <v>38.1</v>
      </c>
    </row>
    <row r="112" spans="1:13" ht="15" customHeight="1" x14ac:dyDescent="0.2">
      <c r="A112" s="1">
        <v>2018</v>
      </c>
      <c r="B112" s="9">
        <v>38.299999999999997</v>
      </c>
      <c r="C112" s="9">
        <v>42.2</v>
      </c>
      <c r="D112" s="9">
        <v>46.8</v>
      </c>
      <c r="E112" s="9">
        <v>55.2</v>
      </c>
      <c r="F112" s="9">
        <v>60.4</v>
      </c>
      <c r="G112" s="9">
        <v>69.900000000000006</v>
      </c>
      <c r="H112" s="9">
        <v>72</v>
      </c>
      <c r="I112" s="9">
        <v>70.599999999999994</v>
      </c>
      <c r="J112" s="9">
        <v>65.599999999999994</v>
      </c>
      <c r="K112" s="9">
        <v>54.1</v>
      </c>
      <c r="L112" s="9">
        <v>41.2</v>
      </c>
      <c r="M112" s="9">
        <v>37.1</v>
      </c>
    </row>
    <row r="113" spans="1:13" ht="15" customHeight="1" x14ac:dyDescent="0.2">
      <c r="A113" s="1">
        <v>2019</v>
      </c>
      <c r="B113" s="9">
        <v>37.700000000000003</v>
      </c>
      <c r="C113" s="9">
        <v>37.799999999999997</v>
      </c>
      <c r="D113" s="9">
        <v>47</v>
      </c>
      <c r="E113" s="9">
        <v>52.3</v>
      </c>
      <c r="F113" s="9">
        <v>54.9</v>
      </c>
      <c r="G113" s="9">
        <v>66.5</v>
      </c>
      <c r="H113" s="9">
        <v>72.900000000000006</v>
      </c>
      <c r="I113" s="9">
        <v>72.900000000000006</v>
      </c>
      <c r="J113" s="9">
        <v>66.099999999999994</v>
      </c>
      <c r="K113" s="9">
        <v>52.8</v>
      </c>
      <c r="L113" s="9">
        <v>44.7</v>
      </c>
      <c r="M113" s="9">
        <v>37.200000000000003</v>
      </c>
    </row>
    <row r="114" spans="1:13" ht="15" customHeight="1" x14ac:dyDescent="0.2">
      <c r="A114" s="1">
        <v>2020</v>
      </c>
      <c r="B114" s="9">
        <v>37.299999999999997</v>
      </c>
      <c r="C114" s="9">
        <v>40.799999999999997</v>
      </c>
      <c r="D114" s="9">
        <v>46.9</v>
      </c>
      <c r="E114" s="9">
        <v>52.1</v>
      </c>
      <c r="F114" s="9">
        <v>60.9</v>
      </c>
      <c r="G114" s="9">
        <v>68</v>
      </c>
      <c r="H114" s="9">
        <v>73.599999999999994</v>
      </c>
      <c r="I114" s="9">
        <v>73.099999999999994</v>
      </c>
      <c r="J114" s="9">
        <v>64.099999999999994</v>
      </c>
      <c r="K114" s="9">
        <v>54.7</v>
      </c>
      <c r="L114" s="9">
        <v>46.3</v>
      </c>
      <c r="M114" s="9">
        <v>34.6</v>
      </c>
    </row>
    <row r="115" spans="1:13" ht="15" customHeight="1" x14ac:dyDescent="0.2">
      <c r="A115" s="1">
        <v>2021</v>
      </c>
      <c r="B115" s="9">
        <v>36.299999999999997</v>
      </c>
      <c r="C115" s="9">
        <v>39.1</v>
      </c>
      <c r="D115" s="9">
        <v>43.6</v>
      </c>
      <c r="E115" s="9">
        <v>52.8</v>
      </c>
      <c r="F115" s="9">
        <v>59.1</v>
      </c>
      <c r="G115" s="9">
        <v>70.099999999999994</v>
      </c>
      <c r="H115" s="9">
        <v>71.900000000000006</v>
      </c>
      <c r="I115" s="9">
        <v>70.5</v>
      </c>
      <c r="J115" s="9">
        <v>65.400000000000006</v>
      </c>
      <c r="K115" s="9">
        <v>53.5</v>
      </c>
      <c r="L115" s="9">
        <v>46.4</v>
      </c>
      <c r="M115" s="9">
        <v>40.799999999999997</v>
      </c>
    </row>
    <row r="116" spans="1:13" ht="15" customHeight="1" x14ac:dyDescent="0.2">
      <c r="A116" s="1">
        <v>2022</v>
      </c>
      <c r="B116" s="9">
        <v>36.43333333333333</v>
      </c>
      <c r="C116" s="9">
        <v>36.928571428571431</v>
      </c>
      <c r="D116" s="9">
        <v>44.241935483870968</v>
      </c>
      <c r="E116" s="9">
        <v>53.31666666666667</v>
      </c>
      <c r="F116" s="9">
        <v>60.274193548387103</v>
      </c>
      <c r="G116" s="9">
        <v>69.283333333333331</v>
      </c>
      <c r="H116" s="9">
        <v>72.709677419354847</v>
      </c>
      <c r="I116" s="9">
        <v>69.935483870967744</v>
      </c>
      <c r="J116" s="9">
        <v>65.5</v>
      </c>
      <c r="K116" s="9">
        <v>53.274193548387096</v>
      </c>
      <c r="L116" s="9">
        <v>39.6</v>
      </c>
      <c r="M116" s="9">
        <v>37.774193548387096</v>
      </c>
    </row>
    <row r="117" spans="1:13" ht="15" customHeight="1" x14ac:dyDescent="0.2">
      <c r="A117" s="1">
        <v>2023</v>
      </c>
      <c r="B117" s="1">
        <v>34.5</v>
      </c>
      <c r="C117" s="1">
        <v>37</v>
      </c>
      <c r="D117" s="1">
        <v>44</v>
      </c>
      <c r="E117" s="1">
        <v>51.5</v>
      </c>
      <c r="F117" s="1">
        <v>58.9</v>
      </c>
      <c r="G117" s="1">
        <v>65.099999999999994</v>
      </c>
      <c r="H117" s="1">
        <v>76</v>
      </c>
      <c r="I117" s="1">
        <v>72.099999999999994</v>
      </c>
      <c r="J117" s="1">
        <v>66.400000000000006</v>
      </c>
      <c r="K117" s="1">
        <v>56.3</v>
      </c>
      <c r="L117" s="1">
        <v>45.2</v>
      </c>
      <c r="M117" s="1">
        <v>38.4</v>
      </c>
    </row>
    <row r="118" spans="1:13" ht="15" customHeight="1" x14ac:dyDescent="0.2">
      <c r="A118" s="1">
        <v>2024</v>
      </c>
      <c r="B118" s="1">
        <v>36.1</v>
      </c>
      <c r="C118" s="1">
        <v>41.6</v>
      </c>
      <c r="D118" s="1">
        <v>44.7</v>
      </c>
      <c r="E118" s="1">
        <v>51.1</v>
      </c>
      <c r="F118" s="1">
        <v>59.4</v>
      </c>
      <c r="G118" s="1">
        <v>72.900000000000006</v>
      </c>
      <c r="H118" s="1">
        <v>73.3</v>
      </c>
      <c r="I118" s="1">
        <v>72.7</v>
      </c>
      <c r="J118" s="1">
        <v>64.8</v>
      </c>
      <c r="K118" s="1">
        <v>58.3</v>
      </c>
      <c r="L118" s="1">
        <v>42.6</v>
      </c>
      <c r="M118" s="1">
        <v>40</v>
      </c>
    </row>
    <row r="119" spans="1:13" ht="15" customHeight="1" x14ac:dyDescent="0.2">
      <c r="A119" s="2" t="s">
        <v>104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" customHeight="1" x14ac:dyDescent="0.2">
      <c r="A120" s="1">
        <v>1968</v>
      </c>
      <c r="B120" s="1" t="s">
        <v>15</v>
      </c>
    </row>
    <row r="121" spans="1:13" ht="15" customHeight="1" x14ac:dyDescent="0.2">
      <c r="A121" s="1">
        <v>1969</v>
      </c>
      <c r="B121" s="1" t="s">
        <v>15</v>
      </c>
    </row>
    <row r="122" spans="1:13" ht="15" customHeight="1" x14ac:dyDescent="0.2">
      <c r="A122" s="1">
        <v>1970</v>
      </c>
      <c r="B122" s="1" t="s">
        <v>15</v>
      </c>
    </row>
    <row r="123" spans="1:13" ht="15" customHeight="1" x14ac:dyDescent="0.2">
      <c r="A123" s="1">
        <v>1971</v>
      </c>
      <c r="B123" s="1" t="s">
        <v>25</v>
      </c>
    </row>
    <row r="124" spans="1:13" ht="15" customHeight="1" x14ac:dyDescent="0.2">
      <c r="A124" s="1">
        <v>1972</v>
      </c>
      <c r="B124" s="1" t="s">
        <v>29</v>
      </c>
    </row>
    <row r="125" spans="1:13" ht="15" customHeight="1" x14ac:dyDescent="0.2">
      <c r="A125" s="1">
        <v>1973</v>
      </c>
      <c r="B125" s="1" t="s">
        <v>15</v>
      </c>
    </row>
    <row r="126" spans="1:13" ht="15" customHeight="1" x14ac:dyDescent="0.2">
      <c r="A126" s="1">
        <v>1974</v>
      </c>
      <c r="B126" s="1" t="s">
        <v>15</v>
      </c>
    </row>
    <row r="127" spans="1:13" ht="15" customHeight="1" x14ac:dyDescent="0.2">
      <c r="A127" s="1">
        <v>1975</v>
      </c>
      <c r="B127" s="1" t="s">
        <v>15</v>
      </c>
    </row>
    <row r="128" spans="1:13" ht="15" customHeight="1" x14ac:dyDescent="0.2">
      <c r="A128" s="1">
        <v>1976</v>
      </c>
      <c r="B128" s="1" t="s">
        <v>15</v>
      </c>
    </row>
    <row r="129" spans="1:2" ht="15" customHeight="1" x14ac:dyDescent="0.2">
      <c r="A129" s="1">
        <v>1977</v>
      </c>
      <c r="B129" s="1" t="s">
        <v>15</v>
      </c>
    </row>
    <row r="130" spans="1:2" ht="15" customHeight="1" x14ac:dyDescent="0.2">
      <c r="A130" s="1">
        <v>1978</v>
      </c>
      <c r="B130" s="1" t="s">
        <v>15</v>
      </c>
    </row>
    <row r="131" spans="1:2" ht="15" customHeight="1" x14ac:dyDescent="0.2">
      <c r="A131" s="1">
        <v>1979</v>
      </c>
      <c r="B131" s="1" t="s">
        <v>15</v>
      </c>
    </row>
    <row r="132" spans="1:2" ht="15" customHeight="1" x14ac:dyDescent="0.2">
      <c r="A132" s="1">
        <v>1980</v>
      </c>
      <c r="B132" s="1" t="s">
        <v>15</v>
      </c>
    </row>
    <row r="133" spans="1:2" ht="15" customHeight="1" x14ac:dyDescent="0.2">
      <c r="A133" s="1">
        <v>1981</v>
      </c>
      <c r="B133" s="1" t="s">
        <v>15</v>
      </c>
    </row>
    <row r="134" spans="1:2" ht="15" customHeight="1" x14ac:dyDescent="0.2">
      <c r="A134" s="1">
        <v>1982</v>
      </c>
      <c r="B134" s="1" t="s">
        <v>15</v>
      </c>
    </row>
    <row r="135" spans="1:2" ht="15" customHeight="1" x14ac:dyDescent="0.2">
      <c r="A135" s="1">
        <v>1983</v>
      </c>
      <c r="B135" s="1" t="s">
        <v>15</v>
      </c>
    </row>
    <row r="136" spans="1:2" ht="15" customHeight="1" x14ac:dyDescent="0.2">
      <c r="A136" s="1">
        <v>1984</v>
      </c>
      <c r="B136" s="1" t="s">
        <v>15</v>
      </c>
    </row>
    <row r="137" spans="1:2" ht="15" customHeight="1" x14ac:dyDescent="0.2">
      <c r="A137" s="1">
        <v>1985</v>
      </c>
      <c r="B137" s="1" t="s">
        <v>15</v>
      </c>
    </row>
    <row r="138" spans="1:2" ht="15" customHeight="1" x14ac:dyDescent="0.2">
      <c r="A138" s="1">
        <v>1986</v>
      </c>
      <c r="B138" s="1" t="s">
        <v>15</v>
      </c>
    </row>
    <row r="139" spans="1:2" ht="15" customHeight="1" x14ac:dyDescent="0.2">
      <c r="A139" s="1">
        <v>1987</v>
      </c>
      <c r="B139" s="1" t="s">
        <v>15</v>
      </c>
    </row>
    <row r="140" spans="1:2" ht="15" customHeight="1" x14ac:dyDescent="0.2">
      <c r="A140" s="1">
        <v>1988</v>
      </c>
      <c r="B140" s="1" t="s">
        <v>15</v>
      </c>
    </row>
    <row r="141" spans="1:2" ht="15" customHeight="1" x14ac:dyDescent="0.2">
      <c r="A141" s="1">
        <v>1989</v>
      </c>
      <c r="B141" s="1" t="s">
        <v>15</v>
      </c>
    </row>
    <row r="142" spans="1:2" ht="15" customHeight="1" x14ac:dyDescent="0.2">
      <c r="A142" s="1">
        <v>1990</v>
      </c>
      <c r="B142" s="1" t="s">
        <v>15</v>
      </c>
    </row>
    <row r="143" spans="1:2" ht="15" customHeight="1" x14ac:dyDescent="0.2">
      <c r="A143" s="1">
        <v>1991</v>
      </c>
      <c r="B143" s="1" t="s">
        <v>15</v>
      </c>
    </row>
    <row r="144" spans="1:2" ht="15" customHeight="1" x14ac:dyDescent="0.2">
      <c r="A144" s="1">
        <v>1992</v>
      </c>
      <c r="B144" s="1" t="s">
        <v>15</v>
      </c>
    </row>
    <row r="145" spans="1:2" ht="15" customHeight="1" x14ac:dyDescent="0.2">
      <c r="A145" s="1">
        <v>1993</v>
      </c>
      <c r="B145" s="1" t="s">
        <v>15</v>
      </c>
    </row>
    <row r="146" spans="1:2" ht="15" customHeight="1" x14ac:dyDescent="0.2">
      <c r="A146" s="1">
        <v>1994</v>
      </c>
      <c r="B146" s="1" t="s">
        <v>15</v>
      </c>
    </row>
    <row r="147" spans="1:2" ht="15" customHeight="1" x14ac:dyDescent="0.2">
      <c r="A147" s="1">
        <v>1995</v>
      </c>
      <c r="B147" s="1" t="s">
        <v>15</v>
      </c>
    </row>
    <row r="148" spans="1:2" ht="15" customHeight="1" x14ac:dyDescent="0.2">
      <c r="A148" s="1">
        <v>1996</v>
      </c>
      <c r="B148" s="1" t="s">
        <v>15</v>
      </c>
    </row>
    <row r="149" spans="1:2" ht="15" customHeight="1" x14ac:dyDescent="0.2">
      <c r="A149" s="1">
        <v>1997</v>
      </c>
      <c r="B149" s="1" t="s">
        <v>15</v>
      </c>
    </row>
    <row r="150" spans="1:2" ht="15" customHeight="1" x14ac:dyDescent="0.2">
      <c r="A150" s="1">
        <v>1998</v>
      </c>
      <c r="B150" s="1" t="s">
        <v>15</v>
      </c>
    </row>
    <row r="151" spans="1:2" ht="15" customHeight="1" x14ac:dyDescent="0.2">
      <c r="A151" s="1">
        <v>1999</v>
      </c>
      <c r="B151" s="1" t="s">
        <v>15</v>
      </c>
    </row>
    <row r="152" spans="1:2" ht="15" customHeight="1" x14ac:dyDescent="0.2">
      <c r="A152" s="1">
        <v>2000</v>
      </c>
      <c r="B152" s="1" t="s">
        <v>77</v>
      </c>
    </row>
    <row r="153" spans="1:2" ht="15" customHeight="1" x14ac:dyDescent="0.2">
      <c r="A153" s="1">
        <v>2001</v>
      </c>
      <c r="B153" s="1" t="s">
        <v>78</v>
      </c>
    </row>
    <row r="154" spans="1:2" ht="15" customHeight="1" x14ac:dyDescent="0.2">
      <c r="A154" s="1">
        <v>2002</v>
      </c>
      <c r="B154" s="1" t="s">
        <v>79</v>
      </c>
    </row>
    <row r="155" spans="1:2" ht="15" customHeight="1" x14ac:dyDescent="0.2">
      <c r="A155" s="1">
        <v>2003</v>
      </c>
      <c r="B155" s="1" t="s">
        <v>15</v>
      </c>
    </row>
    <row r="156" spans="1:2" ht="15" customHeight="1" x14ac:dyDescent="0.2">
      <c r="A156" s="1">
        <v>2004</v>
      </c>
      <c r="B156" s="1" t="s">
        <v>15</v>
      </c>
    </row>
    <row r="157" spans="1:2" ht="15" customHeight="1" x14ac:dyDescent="0.2">
      <c r="A157" s="1">
        <v>2005</v>
      </c>
      <c r="B157" s="1" t="s">
        <v>15</v>
      </c>
    </row>
    <row r="158" spans="1:2" ht="15" customHeight="1" x14ac:dyDescent="0.2">
      <c r="A158" s="1">
        <v>2006</v>
      </c>
      <c r="B158" s="1" t="s">
        <v>15</v>
      </c>
    </row>
    <row r="159" spans="1:2" ht="15" customHeight="1" x14ac:dyDescent="0.2">
      <c r="A159" s="1">
        <v>2007</v>
      </c>
      <c r="B159" s="1" t="s">
        <v>115</v>
      </c>
    </row>
    <row r="160" spans="1:2" ht="15" customHeight="1" x14ac:dyDescent="0.2">
      <c r="B160" s="1" t="s">
        <v>116</v>
      </c>
    </row>
    <row r="161" spans="1:2" ht="15" customHeight="1" x14ac:dyDescent="0.2">
      <c r="B161" s="1" t="s">
        <v>117</v>
      </c>
    </row>
    <row r="162" spans="1:2" ht="15" customHeight="1" x14ac:dyDescent="0.2">
      <c r="B162" s="1" t="s">
        <v>118</v>
      </c>
    </row>
    <row r="163" spans="1:2" ht="15" customHeight="1" x14ac:dyDescent="0.2">
      <c r="A163" s="1">
        <v>2008</v>
      </c>
      <c r="B163" s="1" t="s">
        <v>144</v>
      </c>
    </row>
    <row r="164" spans="1:2" ht="15" customHeight="1" x14ac:dyDescent="0.2">
      <c r="B164" s="1" t="s">
        <v>145</v>
      </c>
    </row>
    <row r="165" spans="1:2" ht="15" customHeight="1" x14ac:dyDescent="0.2">
      <c r="A165" s="1">
        <v>2009</v>
      </c>
      <c r="B165" s="1" t="s">
        <v>185</v>
      </c>
    </row>
    <row r="166" spans="1:2" ht="15" customHeight="1" x14ac:dyDescent="0.2">
      <c r="A166" s="1">
        <v>2010</v>
      </c>
      <c r="B166" s="1" t="s">
        <v>188</v>
      </c>
    </row>
    <row r="167" spans="1:2" ht="15" customHeight="1" x14ac:dyDescent="0.2">
      <c r="A167" s="1">
        <v>2011</v>
      </c>
      <c r="B167" s="1" t="s">
        <v>15</v>
      </c>
    </row>
    <row r="168" spans="1:2" ht="15" customHeight="1" x14ac:dyDescent="0.2">
      <c r="A168" s="1">
        <v>2012</v>
      </c>
      <c r="B168" s="1" t="s">
        <v>15</v>
      </c>
    </row>
    <row r="169" spans="1:2" ht="15" customHeight="1" x14ac:dyDescent="0.2">
      <c r="A169" s="1">
        <v>2013</v>
      </c>
      <c r="B169" s="1" t="s">
        <v>15</v>
      </c>
    </row>
    <row r="170" spans="1:2" ht="15" customHeight="1" x14ac:dyDescent="0.2">
      <c r="A170" s="1">
        <v>2014</v>
      </c>
      <c r="B170" s="1" t="s">
        <v>15</v>
      </c>
    </row>
    <row r="171" spans="1:2" ht="15" customHeight="1" x14ac:dyDescent="0.2">
      <c r="A171" s="1">
        <v>2015</v>
      </c>
      <c r="B171" s="1" t="s">
        <v>15</v>
      </c>
    </row>
    <row r="172" spans="1:2" ht="15" customHeight="1" x14ac:dyDescent="0.2">
      <c r="A172" s="1">
        <v>2016</v>
      </c>
      <c r="B172" s="1" t="s">
        <v>15</v>
      </c>
    </row>
    <row r="173" spans="1:2" ht="15" customHeight="1" x14ac:dyDescent="0.2">
      <c r="A173" s="1">
        <v>2017</v>
      </c>
      <c r="B173" s="1" t="s">
        <v>15</v>
      </c>
    </row>
    <row r="174" spans="1:2" ht="15" customHeight="1" x14ac:dyDescent="0.2">
      <c r="A174" s="1">
        <v>2018</v>
      </c>
      <c r="B174" s="1" t="s">
        <v>15</v>
      </c>
    </row>
    <row r="175" spans="1:2" ht="15" customHeight="1" x14ac:dyDescent="0.2">
      <c r="A175" s="1">
        <v>2019</v>
      </c>
      <c r="B175" s="1" t="s">
        <v>15</v>
      </c>
    </row>
    <row r="176" spans="1:2" ht="15" customHeight="1" x14ac:dyDescent="0.2">
      <c r="A176" s="1">
        <v>2020</v>
      </c>
      <c r="B176" s="1" t="s">
        <v>15</v>
      </c>
    </row>
    <row r="177" spans="1:12" ht="15" customHeight="1" x14ac:dyDescent="0.2">
      <c r="A177" s="1">
        <v>2021</v>
      </c>
      <c r="B177" s="1" t="s">
        <v>15</v>
      </c>
    </row>
    <row r="178" spans="1:12" ht="15" customHeight="1" x14ac:dyDescent="0.2">
      <c r="A178" s="1">
        <v>2022</v>
      </c>
      <c r="B178" s="1" t="s">
        <v>15</v>
      </c>
    </row>
    <row r="179" spans="1:12" ht="15" customHeight="1" x14ac:dyDescent="0.2">
      <c r="A179" s="1">
        <v>2023</v>
      </c>
      <c r="B179" s="1" t="s">
        <v>229</v>
      </c>
    </row>
    <row r="180" spans="1:12" ht="15" customHeight="1" x14ac:dyDescent="0.2">
      <c r="A180" s="1">
        <v>2024</v>
      </c>
      <c r="B180" s="1" t="s">
        <v>229</v>
      </c>
    </row>
    <row r="181" spans="1:12" ht="15" customHeight="1" x14ac:dyDescent="0.2">
      <c r="A181" s="2" t="s">
        <v>6</v>
      </c>
      <c r="C181" s="2" t="s">
        <v>136</v>
      </c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" customHeight="1" x14ac:dyDescent="0.2">
      <c r="A182" s="2"/>
      <c r="B182" s="1" t="s">
        <v>137</v>
      </c>
      <c r="C182" s="2"/>
      <c r="D182" s="2"/>
      <c r="E182" s="1" t="s">
        <v>137</v>
      </c>
      <c r="F182" s="2"/>
      <c r="G182" s="2"/>
      <c r="H182" s="1" t="s">
        <v>140</v>
      </c>
      <c r="I182" s="2"/>
      <c r="J182" s="2"/>
      <c r="K182" s="1" t="s">
        <v>140</v>
      </c>
      <c r="L182" s="2"/>
    </row>
    <row r="183" spans="1:12" ht="15" customHeight="1" x14ac:dyDescent="0.2">
      <c r="B183" s="8" t="s">
        <v>139</v>
      </c>
      <c r="C183" s="8"/>
      <c r="E183" s="8" t="s">
        <v>138</v>
      </c>
      <c r="F183" s="8"/>
      <c r="H183" s="8" t="s">
        <v>138</v>
      </c>
      <c r="I183" s="8"/>
      <c r="K183" s="8" t="s">
        <v>139</v>
      </c>
      <c r="L183" s="8"/>
    </row>
    <row r="184" spans="1:12" ht="15" customHeight="1" x14ac:dyDescent="0.2">
      <c r="A184" s="1">
        <v>1968</v>
      </c>
      <c r="B184" s="1">
        <v>4</v>
      </c>
      <c r="C184" s="1">
        <v>28</v>
      </c>
      <c r="E184" s="1">
        <v>5</v>
      </c>
      <c r="F184" s="1">
        <v>18</v>
      </c>
      <c r="H184" s="1">
        <v>9</v>
      </c>
      <c r="I184" s="1">
        <v>24</v>
      </c>
      <c r="K184" s="1">
        <v>10</v>
      </c>
      <c r="L184" s="1">
        <v>16</v>
      </c>
    </row>
    <row r="185" spans="1:12" ht="15" customHeight="1" x14ac:dyDescent="0.2">
      <c r="A185" s="1">
        <v>1969</v>
      </c>
      <c r="B185" s="1">
        <v>5</v>
      </c>
      <c r="C185" s="1">
        <v>17</v>
      </c>
      <c r="E185" s="1">
        <v>5</v>
      </c>
      <c r="F185" s="1">
        <v>17</v>
      </c>
      <c r="H185" s="1">
        <v>10</v>
      </c>
      <c r="I185" s="1">
        <v>6</v>
      </c>
      <c r="K185" s="1">
        <v>10</v>
      </c>
      <c r="L185" s="1">
        <v>7</v>
      </c>
    </row>
    <row r="186" spans="1:12" ht="15" customHeight="1" x14ac:dyDescent="0.2">
      <c r="A186" s="1">
        <v>1970</v>
      </c>
      <c r="B186" s="1">
        <v>5</v>
      </c>
      <c r="C186" s="1">
        <v>4</v>
      </c>
      <c r="E186" s="1">
        <v>5</v>
      </c>
      <c r="F186" s="1">
        <v>18</v>
      </c>
      <c r="H186" s="1">
        <v>9</v>
      </c>
      <c r="I186" s="1">
        <v>23</v>
      </c>
      <c r="K186" s="1">
        <v>10</v>
      </c>
      <c r="L186" s="1">
        <v>9</v>
      </c>
    </row>
    <row r="187" spans="1:12" ht="15" customHeight="1" x14ac:dyDescent="0.2">
      <c r="A187" s="1">
        <v>1971</v>
      </c>
      <c r="B187" s="1">
        <v>5</v>
      </c>
      <c r="C187" s="1">
        <v>20</v>
      </c>
      <c r="E187" s="1">
        <v>6</v>
      </c>
      <c r="F187" s="1">
        <v>5</v>
      </c>
      <c r="H187" s="1">
        <v>9</v>
      </c>
      <c r="I187" s="1">
        <v>22</v>
      </c>
      <c r="K187" s="1">
        <v>10</v>
      </c>
      <c r="L187" s="1">
        <v>20</v>
      </c>
    </row>
    <row r="188" spans="1:12" ht="15" customHeight="1" x14ac:dyDescent="0.2">
      <c r="A188" s="1">
        <v>1972</v>
      </c>
      <c r="B188" s="1">
        <v>5</v>
      </c>
      <c r="C188" s="1">
        <v>26</v>
      </c>
      <c r="E188" s="1">
        <v>5</v>
      </c>
      <c r="F188" s="1">
        <v>27</v>
      </c>
      <c r="H188" s="1">
        <v>10</v>
      </c>
      <c r="I188" s="1">
        <v>22</v>
      </c>
      <c r="K188" s="1">
        <v>11</v>
      </c>
      <c r="L188" s="1">
        <v>1</v>
      </c>
    </row>
    <row r="189" spans="1:12" ht="15" customHeight="1" x14ac:dyDescent="0.2">
      <c r="A189" s="1">
        <v>1973</v>
      </c>
      <c r="B189" s="1">
        <v>5</v>
      </c>
      <c r="C189" s="1">
        <v>3</v>
      </c>
      <c r="E189" s="1">
        <v>5</v>
      </c>
      <c r="F189" s="1">
        <v>8</v>
      </c>
      <c r="H189" s="1">
        <v>9</v>
      </c>
      <c r="I189" s="1">
        <v>28</v>
      </c>
      <c r="K189" s="1">
        <v>10</v>
      </c>
      <c r="L189" s="1">
        <v>11</v>
      </c>
    </row>
    <row r="190" spans="1:12" ht="15" customHeight="1" x14ac:dyDescent="0.2">
      <c r="A190" s="1">
        <v>1974</v>
      </c>
      <c r="B190" s="1">
        <v>5</v>
      </c>
      <c r="C190" s="1">
        <v>21</v>
      </c>
      <c r="E190" s="1">
        <v>6</v>
      </c>
      <c r="F190" s="1">
        <v>9</v>
      </c>
      <c r="H190" s="1">
        <v>10</v>
      </c>
      <c r="I190" s="1">
        <v>16</v>
      </c>
      <c r="K190" s="1">
        <v>11</v>
      </c>
      <c r="L190" s="1">
        <v>1</v>
      </c>
    </row>
    <row r="191" spans="1:12" ht="15" customHeight="1" x14ac:dyDescent="0.2">
      <c r="A191" s="1">
        <v>1975</v>
      </c>
      <c r="B191" s="1">
        <v>5</v>
      </c>
      <c r="C191" s="1">
        <v>23</v>
      </c>
      <c r="E191" s="1">
        <v>5</v>
      </c>
      <c r="F191" s="1">
        <v>25</v>
      </c>
      <c r="H191" s="1">
        <v>10</v>
      </c>
      <c r="I191" s="1">
        <v>5</v>
      </c>
      <c r="K191" s="1">
        <v>10</v>
      </c>
      <c r="L191" s="1">
        <v>14</v>
      </c>
    </row>
    <row r="192" spans="1:12" ht="15" customHeight="1" x14ac:dyDescent="0.2">
      <c r="A192" s="1">
        <v>1976</v>
      </c>
      <c r="B192" s="1">
        <v>5</v>
      </c>
      <c r="C192" s="1">
        <v>2</v>
      </c>
      <c r="E192" s="1">
        <v>5</v>
      </c>
      <c r="F192" s="1">
        <v>31</v>
      </c>
      <c r="H192" s="1">
        <v>10</v>
      </c>
      <c r="I192" s="1">
        <v>6</v>
      </c>
      <c r="K192" s="1">
        <v>10</v>
      </c>
      <c r="L192" s="1">
        <v>7</v>
      </c>
    </row>
    <row r="193" spans="1:12" ht="15" customHeight="1" x14ac:dyDescent="0.2">
      <c r="A193" s="1">
        <v>1977</v>
      </c>
      <c r="B193" s="1">
        <v>5</v>
      </c>
      <c r="C193" s="1">
        <v>21</v>
      </c>
      <c r="E193" s="1">
        <v>5</v>
      </c>
      <c r="F193" s="1">
        <v>23</v>
      </c>
      <c r="H193" s="1">
        <v>10</v>
      </c>
      <c r="I193" s="1">
        <v>13</v>
      </c>
      <c r="K193" s="1">
        <v>10</v>
      </c>
      <c r="L193" s="1">
        <v>15</v>
      </c>
    </row>
    <row r="194" spans="1:12" ht="15" customHeight="1" x14ac:dyDescent="0.2">
      <c r="A194" s="1">
        <v>1978</v>
      </c>
      <c r="B194" s="1">
        <v>5</v>
      </c>
      <c r="C194" s="1">
        <v>8</v>
      </c>
      <c r="E194" s="1">
        <v>5</v>
      </c>
      <c r="F194" s="1">
        <v>27</v>
      </c>
      <c r="H194" s="1">
        <v>10</v>
      </c>
      <c r="I194" s="1">
        <v>11</v>
      </c>
      <c r="K194" s="1">
        <v>10</v>
      </c>
      <c r="L194" s="1">
        <v>29</v>
      </c>
    </row>
    <row r="195" spans="1:12" ht="15" customHeight="1" x14ac:dyDescent="0.2">
      <c r="A195" s="1">
        <v>1979</v>
      </c>
      <c r="B195" s="1">
        <v>5</v>
      </c>
      <c r="C195" s="1">
        <v>11</v>
      </c>
      <c r="E195" s="1">
        <v>5</v>
      </c>
      <c r="F195" s="1">
        <v>13</v>
      </c>
      <c r="H195" s="1">
        <v>10</v>
      </c>
      <c r="I195" s="1">
        <v>6</v>
      </c>
      <c r="K195" s="1">
        <v>10</v>
      </c>
      <c r="L195" s="1">
        <v>22</v>
      </c>
    </row>
    <row r="196" spans="1:12" ht="15" customHeight="1" x14ac:dyDescent="0.2">
      <c r="A196" s="1">
        <v>1980</v>
      </c>
      <c r="B196" s="1">
        <v>5</v>
      </c>
      <c r="C196" s="1">
        <v>27</v>
      </c>
      <c r="E196" s="1">
        <v>6</v>
      </c>
      <c r="F196" s="1">
        <v>4</v>
      </c>
      <c r="H196" s="1">
        <v>10</v>
      </c>
      <c r="I196" s="1">
        <v>16</v>
      </c>
      <c r="K196" s="1">
        <v>10</v>
      </c>
      <c r="L196" s="1">
        <v>16</v>
      </c>
    </row>
    <row r="197" spans="1:12" ht="15" customHeight="1" x14ac:dyDescent="0.2">
      <c r="A197" s="1">
        <v>1981</v>
      </c>
      <c r="B197" s="1">
        <v>4</v>
      </c>
      <c r="C197" s="1">
        <v>10</v>
      </c>
      <c r="E197" s="1">
        <v>5</v>
      </c>
      <c r="F197" s="1">
        <v>18</v>
      </c>
      <c r="H197" s="1">
        <v>10</v>
      </c>
      <c r="I197" s="1">
        <v>17</v>
      </c>
      <c r="K197" s="1">
        <v>10</v>
      </c>
      <c r="L197" s="1">
        <v>17</v>
      </c>
    </row>
    <row r="198" spans="1:12" ht="15" customHeight="1" x14ac:dyDescent="0.2">
      <c r="A198" s="1">
        <v>1982</v>
      </c>
      <c r="B198" s="1">
        <v>5</v>
      </c>
      <c r="C198" s="1">
        <v>13</v>
      </c>
      <c r="E198" s="1">
        <v>6</v>
      </c>
      <c r="F198" s="1">
        <v>4</v>
      </c>
      <c r="H198" s="1">
        <v>9</v>
      </c>
      <c r="I198" s="1">
        <v>29</v>
      </c>
      <c r="K198" s="1">
        <v>10</v>
      </c>
      <c r="L198" s="1">
        <v>2</v>
      </c>
    </row>
    <row r="199" spans="1:12" ht="15" customHeight="1" x14ac:dyDescent="0.2">
      <c r="A199" s="1">
        <v>1983</v>
      </c>
      <c r="B199" s="1">
        <v>5</v>
      </c>
      <c r="C199" s="1">
        <v>18</v>
      </c>
      <c r="E199" s="1">
        <v>5</v>
      </c>
      <c r="F199" s="1">
        <v>21</v>
      </c>
      <c r="H199" s="1">
        <v>10</v>
      </c>
      <c r="I199" s="1">
        <v>12</v>
      </c>
      <c r="K199" s="1">
        <v>11</v>
      </c>
      <c r="L199" s="1">
        <v>9</v>
      </c>
    </row>
    <row r="200" spans="1:12" ht="15" customHeight="1" x14ac:dyDescent="0.2">
      <c r="A200" s="1">
        <v>1984</v>
      </c>
      <c r="B200" s="1">
        <v>4</v>
      </c>
      <c r="C200" s="1">
        <v>30</v>
      </c>
      <c r="E200" s="1">
        <v>5</v>
      </c>
      <c r="F200" s="1">
        <v>8</v>
      </c>
      <c r="H200" s="1">
        <v>10</v>
      </c>
      <c r="I200" s="1">
        <v>19</v>
      </c>
      <c r="K200" s="1">
        <v>9</v>
      </c>
      <c r="L200" s="1">
        <v>28</v>
      </c>
    </row>
    <row r="201" spans="1:12" ht="15" customHeight="1" x14ac:dyDescent="0.2">
      <c r="A201" s="1">
        <v>1985</v>
      </c>
      <c r="B201" s="1">
        <v>5</v>
      </c>
      <c r="C201" s="1">
        <v>14</v>
      </c>
      <c r="E201" s="1">
        <v>5</v>
      </c>
      <c r="F201" s="1">
        <v>15</v>
      </c>
      <c r="H201" s="1">
        <v>9</v>
      </c>
      <c r="I201" s="1">
        <v>30</v>
      </c>
      <c r="K201" s="1">
        <v>11</v>
      </c>
      <c r="L201" s="1">
        <v>2</v>
      </c>
    </row>
    <row r="202" spans="1:12" ht="15" customHeight="1" x14ac:dyDescent="0.2">
      <c r="A202" s="1">
        <v>1986</v>
      </c>
      <c r="B202" s="1">
        <v>5</v>
      </c>
      <c r="C202" s="1">
        <v>10</v>
      </c>
      <c r="E202" s="1">
        <v>5</v>
      </c>
      <c r="F202" s="1">
        <v>18</v>
      </c>
      <c r="H202" s="1">
        <v>9</v>
      </c>
      <c r="I202" s="1">
        <v>30</v>
      </c>
      <c r="K202" s="1">
        <v>10</v>
      </c>
      <c r="L202" s="1">
        <v>13</v>
      </c>
    </row>
    <row r="203" spans="1:12" ht="15" customHeight="1" x14ac:dyDescent="0.2">
      <c r="A203" s="1">
        <v>1987</v>
      </c>
      <c r="B203" s="1">
        <v>4</v>
      </c>
      <c r="C203" s="1">
        <v>15</v>
      </c>
      <c r="E203" s="1">
        <v>5</v>
      </c>
      <c r="F203" s="1">
        <v>29</v>
      </c>
      <c r="H203" s="1">
        <v>10</v>
      </c>
      <c r="I203" s="1">
        <v>6</v>
      </c>
      <c r="K203" s="1">
        <v>10</v>
      </c>
      <c r="L203" s="1">
        <v>20</v>
      </c>
    </row>
    <row r="204" spans="1:12" ht="15" customHeight="1" x14ac:dyDescent="0.2">
      <c r="A204" s="1">
        <v>1988</v>
      </c>
      <c r="B204" s="1">
        <v>5</v>
      </c>
      <c r="C204" s="1">
        <v>9</v>
      </c>
      <c r="E204" s="1">
        <v>6</v>
      </c>
      <c r="F204" s="1">
        <v>8</v>
      </c>
      <c r="H204" s="1">
        <v>10</v>
      </c>
      <c r="I204" s="1">
        <v>27</v>
      </c>
      <c r="K204" s="1">
        <v>11</v>
      </c>
      <c r="L204" s="1">
        <v>10</v>
      </c>
    </row>
    <row r="205" spans="1:12" ht="15" customHeight="1" x14ac:dyDescent="0.2">
      <c r="A205" s="1">
        <v>1989</v>
      </c>
      <c r="B205" s="1">
        <v>4</v>
      </c>
      <c r="C205" s="1">
        <v>30</v>
      </c>
      <c r="E205" s="1">
        <v>5</v>
      </c>
      <c r="F205" s="1">
        <v>15</v>
      </c>
      <c r="H205" s="1">
        <v>9</v>
      </c>
      <c r="I205" s="1">
        <v>28</v>
      </c>
      <c r="K205" s="1">
        <v>10</v>
      </c>
      <c r="L205" s="1">
        <v>19</v>
      </c>
    </row>
    <row r="206" spans="1:12" ht="15" customHeight="1" x14ac:dyDescent="0.2">
      <c r="A206" s="1">
        <v>1990</v>
      </c>
      <c r="B206" s="1">
        <v>4</v>
      </c>
      <c r="C206" s="1">
        <v>20</v>
      </c>
      <c r="E206" s="1">
        <v>5</v>
      </c>
      <c r="F206" s="1">
        <v>20</v>
      </c>
      <c r="H206" s="1">
        <v>10</v>
      </c>
      <c r="I206" s="1">
        <v>9</v>
      </c>
      <c r="K206" s="1">
        <v>10</v>
      </c>
      <c r="L206" s="1">
        <v>9</v>
      </c>
    </row>
    <row r="207" spans="1:12" ht="15" customHeight="1" x14ac:dyDescent="0.2">
      <c r="A207" s="1">
        <v>1991</v>
      </c>
      <c r="B207" s="1">
        <v>5</v>
      </c>
      <c r="C207" s="1">
        <v>5</v>
      </c>
      <c r="E207" s="1">
        <v>6</v>
      </c>
      <c r="F207" s="1">
        <v>3</v>
      </c>
      <c r="H207" s="1">
        <v>10</v>
      </c>
      <c r="I207" s="1">
        <v>6</v>
      </c>
      <c r="K207" s="1">
        <v>10</v>
      </c>
      <c r="L207" s="1">
        <v>26</v>
      </c>
    </row>
    <row r="208" spans="1:12" ht="15" customHeight="1" x14ac:dyDescent="0.2">
      <c r="A208" s="1">
        <v>1992</v>
      </c>
      <c r="B208" s="1">
        <v>4</v>
      </c>
      <c r="C208" s="1">
        <v>21</v>
      </c>
      <c r="E208" s="1">
        <v>4</v>
      </c>
      <c r="F208" s="1">
        <v>24</v>
      </c>
      <c r="H208" s="1">
        <v>9</v>
      </c>
      <c r="I208" s="1">
        <v>30</v>
      </c>
      <c r="K208" s="1">
        <v>10</v>
      </c>
      <c r="L208" s="1">
        <v>3</v>
      </c>
    </row>
    <row r="209" spans="1:12" ht="15" customHeight="1" x14ac:dyDescent="0.2">
      <c r="A209" s="1">
        <v>1993</v>
      </c>
      <c r="B209" s="1">
        <v>5</v>
      </c>
      <c r="C209" s="1">
        <v>2</v>
      </c>
      <c r="E209" s="1">
        <v>5</v>
      </c>
      <c r="F209" s="1">
        <v>10</v>
      </c>
      <c r="H209" s="1">
        <v>9</v>
      </c>
      <c r="I209" s="1">
        <v>19</v>
      </c>
      <c r="K209" s="1">
        <v>10</v>
      </c>
      <c r="L209" s="1">
        <v>21</v>
      </c>
    </row>
    <row r="210" spans="1:12" ht="15" customHeight="1" x14ac:dyDescent="0.2">
      <c r="A210" s="1">
        <v>1994</v>
      </c>
      <c r="B210" s="1">
        <v>4</v>
      </c>
      <c r="C210" s="1">
        <v>30</v>
      </c>
      <c r="E210" s="1">
        <v>5</v>
      </c>
      <c r="F210" s="1">
        <v>21</v>
      </c>
      <c r="H210" s="1">
        <v>10</v>
      </c>
      <c r="I210" s="1">
        <v>8</v>
      </c>
      <c r="K210" s="1">
        <v>10</v>
      </c>
      <c r="L210" s="1">
        <v>8</v>
      </c>
    </row>
    <row r="211" spans="1:12" ht="15" customHeight="1" x14ac:dyDescent="0.2">
      <c r="A211" s="1">
        <v>1995</v>
      </c>
      <c r="B211" s="1">
        <v>5</v>
      </c>
      <c r="C211" s="1">
        <v>8</v>
      </c>
      <c r="E211" s="1">
        <v>5</v>
      </c>
      <c r="F211" s="1">
        <v>25</v>
      </c>
      <c r="H211" s="1">
        <v>10</v>
      </c>
      <c r="I211" s="1">
        <v>3</v>
      </c>
      <c r="K211" s="1">
        <v>10</v>
      </c>
      <c r="L211" s="1">
        <v>5</v>
      </c>
    </row>
    <row r="212" spans="1:12" ht="15" customHeight="1" x14ac:dyDescent="0.2">
      <c r="A212" s="1">
        <v>1996</v>
      </c>
      <c r="B212" s="1">
        <v>4</v>
      </c>
      <c r="C212" s="1">
        <v>30</v>
      </c>
      <c r="E212" s="1">
        <v>5</v>
      </c>
      <c r="F212" s="1">
        <v>27</v>
      </c>
      <c r="H212" s="1">
        <v>10</v>
      </c>
      <c r="I212" s="1">
        <v>18</v>
      </c>
      <c r="K212" s="1">
        <v>10</v>
      </c>
      <c r="L212" s="1">
        <v>22</v>
      </c>
    </row>
    <row r="213" spans="1:12" ht="15" customHeight="1" x14ac:dyDescent="0.2">
      <c r="A213" s="1">
        <v>1997</v>
      </c>
      <c r="B213" s="1">
        <v>4</v>
      </c>
      <c r="C213" s="1">
        <v>28</v>
      </c>
      <c r="E213" s="1">
        <v>5</v>
      </c>
      <c r="F213" s="1">
        <v>3</v>
      </c>
      <c r="H213" s="1">
        <v>10</v>
      </c>
      <c r="I213" s="1">
        <v>12</v>
      </c>
      <c r="K213" s="1">
        <v>10</v>
      </c>
      <c r="L213" s="1">
        <v>13</v>
      </c>
    </row>
    <row r="214" spans="1:12" ht="15" customHeight="1" x14ac:dyDescent="0.2">
      <c r="A214" s="1">
        <v>1998</v>
      </c>
      <c r="B214" s="1">
        <v>5</v>
      </c>
      <c r="C214" s="1">
        <v>16</v>
      </c>
      <c r="E214" s="1">
        <v>5</v>
      </c>
      <c r="F214" s="1">
        <v>24</v>
      </c>
      <c r="H214" s="1">
        <v>10</v>
      </c>
      <c r="I214" s="1">
        <v>2</v>
      </c>
      <c r="K214" s="1">
        <v>10</v>
      </c>
      <c r="L214" s="1">
        <v>6</v>
      </c>
    </row>
    <row r="215" spans="1:12" ht="15" customHeight="1" x14ac:dyDescent="0.2">
      <c r="A215" s="1">
        <v>1999</v>
      </c>
      <c r="B215" s="1">
        <v>5</v>
      </c>
      <c r="C215" s="1">
        <v>7</v>
      </c>
      <c r="E215" s="1">
        <v>6</v>
      </c>
      <c r="F215" s="1">
        <v>7</v>
      </c>
      <c r="H215" s="1">
        <v>10</v>
      </c>
      <c r="I215" s="1">
        <v>3</v>
      </c>
      <c r="K215" s="1">
        <v>10</v>
      </c>
      <c r="L215" s="1">
        <v>18</v>
      </c>
    </row>
    <row r="216" spans="1:12" ht="15" customHeight="1" x14ac:dyDescent="0.2">
      <c r="A216" s="1">
        <v>2000</v>
      </c>
      <c r="B216" s="1">
        <v>4</v>
      </c>
      <c r="C216" s="1">
        <v>20</v>
      </c>
      <c r="E216" s="1">
        <v>5</v>
      </c>
      <c r="F216" s="1">
        <v>18</v>
      </c>
      <c r="H216" s="1">
        <v>9</v>
      </c>
      <c r="I216" s="1">
        <v>25</v>
      </c>
      <c r="K216" s="1">
        <v>10</v>
      </c>
      <c r="L216" s="1">
        <v>30</v>
      </c>
    </row>
    <row r="217" spans="1:12" ht="15" customHeight="1" x14ac:dyDescent="0.2">
      <c r="A217" s="1">
        <v>2001</v>
      </c>
      <c r="B217" s="1">
        <v>4</v>
      </c>
      <c r="C217" s="1">
        <v>24</v>
      </c>
      <c r="E217" s="1">
        <v>5</v>
      </c>
      <c r="F217" s="1">
        <v>7</v>
      </c>
      <c r="H217" s="1">
        <v>10</v>
      </c>
      <c r="I217" s="1">
        <v>11</v>
      </c>
      <c r="K217" s="1">
        <v>10</v>
      </c>
      <c r="L217" s="1">
        <v>11</v>
      </c>
    </row>
    <row r="218" spans="1:12" ht="15" customHeight="1" x14ac:dyDescent="0.2">
      <c r="A218" s="1">
        <v>2002</v>
      </c>
      <c r="B218" s="1">
        <v>5</v>
      </c>
      <c r="C218" s="1">
        <v>7</v>
      </c>
      <c r="E218" s="1">
        <v>5</v>
      </c>
      <c r="F218" s="1">
        <v>25</v>
      </c>
      <c r="H218" s="1">
        <v>10</v>
      </c>
      <c r="I218" s="1">
        <v>4</v>
      </c>
      <c r="K218" s="1">
        <v>10</v>
      </c>
      <c r="L218" s="1">
        <v>4</v>
      </c>
    </row>
    <row r="219" spans="1:12" ht="15" customHeight="1" x14ac:dyDescent="0.2">
      <c r="A219" s="1">
        <v>2003</v>
      </c>
      <c r="B219" s="1">
        <v>5</v>
      </c>
      <c r="C219" s="1">
        <v>12</v>
      </c>
      <c r="E219" s="1">
        <v>5</v>
      </c>
      <c r="F219" s="1">
        <v>12</v>
      </c>
      <c r="H219" s="1">
        <v>10</v>
      </c>
      <c r="I219" s="1">
        <v>19</v>
      </c>
      <c r="K219" s="1">
        <v>10</v>
      </c>
      <c r="L219" s="1">
        <v>23</v>
      </c>
    </row>
    <row r="220" spans="1:12" ht="15" customHeight="1" x14ac:dyDescent="0.2">
      <c r="A220" s="1">
        <v>2004</v>
      </c>
      <c r="B220" s="1">
        <v>5</v>
      </c>
      <c r="C220" s="1">
        <v>14</v>
      </c>
      <c r="E220" s="1">
        <v>6</v>
      </c>
      <c r="F220" s="1">
        <v>12</v>
      </c>
      <c r="H220" s="1">
        <v>9</v>
      </c>
      <c r="I220" s="1">
        <v>23</v>
      </c>
      <c r="K220" s="1">
        <v>10</v>
      </c>
      <c r="L220" s="1">
        <v>23</v>
      </c>
    </row>
    <row r="221" spans="1:12" ht="15" customHeight="1" x14ac:dyDescent="0.2">
      <c r="A221" s="1">
        <v>2005</v>
      </c>
      <c r="B221" s="1">
        <v>5</v>
      </c>
      <c r="C221" s="1">
        <v>13</v>
      </c>
      <c r="E221" s="1">
        <v>5</v>
      </c>
      <c r="F221" s="1">
        <v>13</v>
      </c>
      <c r="H221" s="1">
        <v>9</v>
      </c>
      <c r="I221" s="1">
        <v>15</v>
      </c>
      <c r="K221" s="1">
        <v>10</v>
      </c>
      <c r="L221" s="1">
        <v>30</v>
      </c>
    </row>
    <row r="222" spans="1:12" ht="15" customHeight="1" x14ac:dyDescent="0.2">
      <c r="A222" s="1">
        <v>2006</v>
      </c>
      <c r="B222" s="1">
        <v>4</v>
      </c>
      <c r="C222" s="1">
        <v>30</v>
      </c>
      <c r="E222" s="1">
        <v>5</v>
      </c>
      <c r="F222" s="1">
        <v>8</v>
      </c>
      <c r="H222" s="1">
        <v>9</v>
      </c>
      <c r="I222" s="1">
        <v>29</v>
      </c>
      <c r="K222" s="1">
        <v>10</v>
      </c>
      <c r="L222" s="1">
        <v>19</v>
      </c>
    </row>
    <row r="223" spans="1:12" ht="15" customHeight="1" x14ac:dyDescent="0.2">
      <c r="A223" s="1">
        <v>2007</v>
      </c>
      <c r="B223" s="1">
        <v>5</v>
      </c>
      <c r="C223" s="1">
        <v>7</v>
      </c>
      <c r="E223" s="1">
        <v>6</v>
      </c>
      <c r="F223" s="1">
        <v>28</v>
      </c>
      <c r="H223" s="1">
        <v>9</v>
      </c>
      <c r="I223" s="1">
        <v>14</v>
      </c>
      <c r="K223" s="1">
        <v>9</v>
      </c>
      <c r="L223" s="1">
        <v>26</v>
      </c>
    </row>
    <row r="224" spans="1:12" ht="15" customHeight="1" x14ac:dyDescent="0.2">
      <c r="A224" s="1">
        <v>2008</v>
      </c>
      <c r="B224" s="1">
        <v>5</v>
      </c>
      <c r="C224" s="1">
        <v>23</v>
      </c>
      <c r="E224" s="1">
        <v>6</v>
      </c>
      <c r="F224" s="1">
        <v>3</v>
      </c>
      <c r="H224" s="1">
        <v>10</v>
      </c>
      <c r="I224" s="1">
        <v>2</v>
      </c>
      <c r="K224" s="1">
        <v>10</v>
      </c>
      <c r="L224" s="1">
        <v>13</v>
      </c>
    </row>
    <row r="225" spans="1:12" ht="15" customHeight="1" x14ac:dyDescent="0.2">
      <c r="A225" s="1">
        <v>2009</v>
      </c>
      <c r="B225" s="1">
        <v>5</v>
      </c>
      <c r="C225" s="1">
        <v>1</v>
      </c>
      <c r="E225" s="1">
        <v>5</v>
      </c>
      <c r="F225" s="1">
        <v>1</v>
      </c>
      <c r="H225" s="1">
        <v>10</v>
      </c>
      <c r="I225" s="1">
        <v>2</v>
      </c>
      <c r="K225" s="1">
        <v>10</v>
      </c>
      <c r="L225" s="1">
        <v>9</v>
      </c>
    </row>
    <row r="226" spans="1:12" ht="15" customHeight="1" x14ac:dyDescent="0.2">
      <c r="A226" s="1">
        <v>2010</v>
      </c>
      <c r="B226" s="1">
        <v>5</v>
      </c>
      <c r="C226" s="1">
        <v>25</v>
      </c>
      <c r="E226" s="1">
        <v>5</v>
      </c>
      <c r="F226" s="1">
        <v>26</v>
      </c>
      <c r="H226" s="1">
        <v>9</v>
      </c>
      <c r="I226" s="1">
        <v>11</v>
      </c>
      <c r="K226" s="1">
        <v>9</v>
      </c>
      <c r="L226" s="1">
        <v>11</v>
      </c>
    </row>
    <row r="227" spans="1:12" ht="15" customHeight="1" x14ac:dyDescent="0.2">
      <c r="A227" s="1">
        <v>2011</v>
      </c>
      <c r="B227" s="1">
        <v>5</v>
      </c>
      <c r="C227" s="1">
        <v>20</v>
      </c>
      <c r="E227" s="1">
        <v>5</v>
      </c>
      <c r="F227" s="1">
        <v>31</v>
      </c>
      <c r="H227" s="1">
        <v>10</v>
      </c>
      <c r="I227" s="1">
        <v>8</v>
      </c>
      <c r="K227" s="1">
        <v>10</v>
      </c>
      <c r="L227" s="1">
        <v>8</v>
      </c>
    </row>
    <row r="228" spans="1:12" ht="15" customHeight="1" x14ac:dyDescent="0.2">
      <c r="A228" s="1">
        <v>2012</v>
      </c>
      <c r="B228" s="1">
        <v>5</v>
      </c>
      <c r="C228" s="1">
        <v>28</v>
      </c>
      <c r="E228" s="1">
        <v>5</v>
      </c>
      <c r="F228" s="1">
        <v>31</v>
      </c>
      <c r="H228" s="1">
        <v>10</v>
      </c>
      <c r="I228" s="1">
        <v>8</v>
      </c>
      <c r="K228" s="1">
        <v>10</v>
      </c>
      <c r="L228" s="1">
        <v>13</v>
      </c>
    </row>
    <row r="229" spans="1:12" ht="15" customHeight="1" x14ac:dyDescent="0.2">
      <c r="A229" s="1">
        <v>2013</v>
      </c>
      <c r="B229" s="1">
        <v>5</v>
      </c>
      <c r="C229" s="1">
        <v>4</v>
      </c>
      <c r="E229" s="1">
        <v>5</v>
      </c>
      <c r="F229" s="1">
        <v>28</v>
      </c>
      <c r="H229" s="1">
        <v>9</v>
      </c>
      <c r="I229" s="1">
        <v>28</v>
      </c>
      <c r="K229" s="1">
        <v>10</v>
      </c>
      <c r="L229" s="1">
        <v>6</v>
      </c>
    </row>
    <row r="230" spans="1:12" ht="15" customHeight="1" x14ac:dyDescent="0.2">
      <c r="A230" s="1">
        <v>2014</v>
      </c>
      <c r="B230" s="1">
        <v>5</v>
      </c>
      <c r="C230" s="1">
        <v>15</v>
      </c>
      <c r="E230" s="1">
        <v>5</v>
      </c>
      <c r="F230" s="1">
        <v>16</v>
      </c>
      <c r="H230" s="1">
        <v>10</v>
      </c>
      <c r="I230" s="1">
        <v>3</v>
      </c>
      <c r="K230" s="1">
        <v>10</v>
      </c>
      <c r="L230" s="1">
        <v>30</v>
      </c>
    </row>
    <row r="231" spans="1:12" ht="15" customHeight="1" x14ac:dyDescent="0.2">
      <c r="A231" s="1">
        <v>2015</v>
      </c>
      <c r="B231" s="1">
        <v>5</v>
      </c>
      <c r="C231" s="1">
        <v>10</v>
      </c>
      <c r="E231" s="1">
        <v>5</v>
      </c>
      <c r="F231" s="1">
        <v>24</v>
      </c>
      <c r="H231" s="1">
        <v>10</v>
      </c>
      <c r="I231" s="1">
        <v>24</v>
      </c>
      <c r="K231" s="1">
        <v>11</v>
      </c>
      <c r="L231" s="1">
        <v>1</v>
      </c>
    </row>
    <row r="232" spans="1:12" ht="15" customHeight="1" x14ac:dyDescent="0.2">
      <c r="A232" s="1">
        <v>2016</v>
      </c>
      <c r="B232" s="1">
        <v>5</v>
      </c>
      <c r="C232" s="1">
        <v>8</v>
      </c>
      <c r="E232" s="1">
        <v>5</v>
      </c>
      <c r="F232" s="1">
        <v>29</v>
      </c>
      <c r="H232" s="1">
        <v>10</v>
      </c>
      <c r="I232" s="1">
        <v>5</v>
      </c>
      <c r="K232" s="1">
        <v>10</v>
      </c>
      <c r="L232" s="1">
        <v>21</v>
      </c>
    </row>
    <row r="233" spans="1:12" ht="15" customHeight="1" x14ac:dyDescent="0.2">
      <c r="A233" s="1">
        <v>2017</v>
      </c>
      <c r="B233" s="1">
        <v>5</v>
      </c>
      <c r="C233" s="1">
        <v>17</v>
      </c>
      <c r="E233" s="1">
        <v>5</v>
      </c>
      <c r="F233" s="1">
        <v>28</v>
      </c>
      <c r="H233" s="1">
        <v>9</v>
      </c>
      <c r="I233" s="1">
        <v>25</v>
      </c>
      <c r="K233" s="1">
        <v>10</v>
      </c>
      <c r="L233" s="1">
        <v>7</v>
      </c>
    </row>
    <row r="234" spans="1:12" ht="15" customHeight="1" x14ac:dyDescent="0.2">
      <c r="A234" s="1">
        <v>2018</v>
      </c>
      <c r="B234" s="1">
        <v>5</v>
      </c>
      <c r="C234" s="1">
        <v>3</v>
      </c>
      <c r="E234" s="1">
        <v>5</v>
      </c>
      <c r="F234" s="1">
        <v>28</v>
      </c>
      <c r="H234" s="1">
        <v>10</v>
      </c>
      <c r="I234" s="1">
        <v>6</v>
      </c>
      <c r="K234" s="1">
        <v>10</v>
      </c>
      <c r="L234" s="1">
        <v>9</v>
      </c>
    </row>
    <row r="235" spans="1:12" ht="15" customHeight="1" x14ac:dyDescent="0.2">
      <c r="A235" s="1">
        <v>2019</v>
      </c>
      <c r="B235" s="1">
        <v>5</v>
      </c>
      <c r="C235" s="1">
        <v>24</v>
      </c>
      <c r="E235" s="1">
        <v>5</v>
      </c>
      <c r="F235" s="1">
        <v>31</v>
      </c>
      <c r="H235" s="1">
        <v>10</v>
      </c>
      <c r="I235" s="1">
        <v>2</v>
      </c>
      <c r="K235" s="1">
        <v>10</v>
      </c>
      <c r="L235" s="1">
        <v>2</v>
      </c>
    </row>
    <row r="236" spans="1:12" ht="15" customHeight="1" x14ac:dyDescent="0.2">
      <c r="A236" s="1">
        <v>2020</v>
      </c>
      <c r="B236" s="1">
        <v>5</v>
      </c>
      <c r="C236" s="1">
        <v>21</v>
      </c>
      <c r="E236" s="1">
        <v>6</v>
      </c>
      <c r="F236" s="1">
        <v>9</v>
      </c>
      <c r="H236" s="1">
        <v>9</v>
      </c>
      <c r="I236" s="1">
        <v>30</v>
      </c>
      <c r="K236" s="1">
        <v>10</v>
      </c>
      <c r="L236" s="1">
        <v>6</v>
      </c>
    </row>
    <row r="237" spans="1:12" ht="15" customHeight="1" x14ac:dyDescent="0.2">
      <c r="A237" s="1">
        <v>2021</v>
      </c>
      <c r="B237" s="1">
        <v>5</v>
      </c>
      <c r="C237" s="1">
        <v>24</v>
      </c>
      <c r="E237" s="1">
        <v>5</v>
      </c>
      <c r="F237" s="1">
        <v>25</v>
      </c>
      <c r="H237" s="1">
        <v>10</v>
      </c>
      <c r="I237" s="1">
        <v>11</v>
      </c>
      <c r="K237" s="1">
        <v>10</v>
      </c>
      <c r="L237" s="1">
        <v>13</v>
      </c>
    </row>
    <row r="238" spans="1:12" ht="15" customHeight="1" x14ac:dyDescent="0.2">
      <c r="A238" s="1">
        <v>2022</v>
      </c>
      <c r="B238" s="1">
        <v>4</v>
      </c>
      <c r="C238" s="1">
        <v>14</v>
      </c>
      <c r="E238" s="1">
        <v>4</v>
      </c>
      <c r="F238" s="1">
        <v>15</v>
      </c>
      <c r="H238" s="1">
        <v>10</v>
      </c>
      <c r="I238" s="1">
        <v>19</v>
      </c>
      <c r="K238" s="1">
        <v>10</v>
      </c>
      <c r="L238" s="1">
        <v>20</v>
      </c>
    </row>
    <row r="239" spans="1:12" ht="15" customHeight="1" x14ac:dyDescent="0.2">
      <c r="A239" s="1">
        <v>2023</v>
      </c>
      <c r="B239" s="1">
        <v>4</v>
      </c>
      <c r="C239" s="1">
        <v>8</v>
      </c>
      <c r="E239" s="1">
        <v>4</v>
      </c>
      <c r="F239" s="1">
        <v>21</v>
      </c>
      <c r="H239" s="1">
        <v>10</v>
      </c>
      <c r="I239" s="1">
        <v>28</v>
      </c>
      <c r="K239" s="1">
        <v>10</v>
      </c>
      <c r="L239" s="1">
        <v>30</v>
      </c>
    </row>
    <row r="240" spans="1:12" ht="15" customHeight="1" x14ac:dyDescent="0.2">
      <c r="A240" s="1">
        <v>2024</v>
      </c>
      <c r="B240" s="1">
        <v>4</v>
      </c>
      <c r="C240" s="1">
        <v>7</v>
      </c>
      <c r="E240" s="1">
        <v>4</v>
      </c>
      <c r="F240" s="1">
        <v>17</v>
      </c>
      <c r="H240" s="1">
        <v>10</v>
      </c>
      <c r="I240" s="1">
        <v>21</v>
      </c>
      <c r="K240" s="1">
        <v>10</v>
      </c>
      <c r="L240" s="1">
        <v>30</v>
      </c>
    </row>
  </sheetData>
  <sheetProtection algorithmName="SHA-512" hashValue="/fw84sL5K1+iBUiU5iiuho/ujRT9ojOvah6At/AJ1dB1dPuB/K9PCXz5SvFFtrIvInzrFpPCYLOmhnfVBO0LTA==" saltValue="QOUg5E40Lcf9dp4KcHAhkA==" spinCount="100000" sheet="1" objects="1" scenarios="1"/>
  <phoneticPr fontId="0" type="noConversion"/>
  <printOptions horizontalCentered="1" gridLines="1"/>
  <pageMargins left="0.75" right="0.75" top="1" bottom="0.75" header="0.5" footer="0.5"/>
  <pageSetup scale="86" fitToHeight="2" orientation="portrait" r:id="rId1"/>
  <headerFooter alignWithMargins="0">
    <oddFooter>&amp;R&amp;9upper gila</oddFooter>
  </headerFooter>
  <rowBreaks count="2" manualBreakCount="2">
    <brk id="59" max="12" man="1"/>
    <brk id="176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36"/>
  <sheetViews>
    <sheetView zoomScaleNormal="100" workbookViewId="0">
      <selection sqref="A1:XFD1"/>
    </sheetView>
  </sheetViews>
  <sheetFormatPr defaultColWidth="8.88671875" defaultRowHeight="15" customHeight="1" x14ac:dyDescent="0.2"/>
  <cols>
    <col min="1" max="13" width="6" style="1" customWidth="1"/>
    <col min="14" max="16384" width="8.88671875" style="1"/>
  </cols>
  <sheetData>
    <row r="1" spans="1:13" ht="15" customHeight="1" x14ac:dyDescent="0.2">
      <c r="A1" s="2" t="s">
        <v>7</v>
      </c>
      <c r="B1" s="2"/>
      <c r="C1" s="2"/>
      <c r="D1" s="2"/>
      <c r="E1" s="2"/>
      <c r="F1" s="2" t="s">
        <v>1</v>
      </c>
      <c r="G1" s="2"/>
      <c r="H1" s="2"/>
      <c r="I1" s="2"/>
      <c r="J1" s="13"/>
      <c r="K1" s="2"/>
      <c r="L1" s="2"/>
      <c r="M1" s="2"/>
    </row>
    <row r="2" spans="1:13" ht="15" customHeight="1" x14ac:dyDescent="0.2">
      <c r="A2" s="2"/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</row>
    <row r="3" spans="1:13" ht="15" customHeight="1" x14ac:dyDescent="0.2">
      <c r="A3" s="1">
        <v>1968</v>
      </c>
      <c r="B3" s="4">
        <v>0.7</v>
      </c>
      <c r="C3" s="4">
        <v>1.32</v>
      </c>
      <c r="D3" s="4">
        <v>1.66</v>
      </c>
      <c r="E3" s="4">
        <v>0.05</v>
      </c>
      <c r="F3" s="4">
        <v>0.09</v>
      </c>
      <c r="G3" s="4">
        <v>0.01</v>
      </c>
      <c r="H3" s="4">
        <v>2.87</v>
      </c>
      <c r="I3" s="4">
        <v>3.45</v>
      </c>
      <c r="J3" s="4">
        <v>0.43</v>
      </c>
      <c r="K3" s="4">
        <v>0.36</v>
      </c>
      <c r="L3" s="4">
        <v>1.1200000000000001</v>
      </c>
      <c r="M3" s="4">
        <v>1.2</v>
      </c>
    </row>
    <row r="4" spans="1:13" ht="15" customHeight="1" x14ac:dyDescent="0.2">
      <c r="A4" s="1">
        <v>1969</v>
      </c>
      <c r="B4" s="4">
        <v>0.33</v>
      </c>
      <c r="C4" s="4">
        <v>0.24</v>
      </c>
      <c r="D4" s="4">
        <v>0.44</v>
      </c>
      <c r="E4" s="4">
        <v>0.08</v>
      </c>
      <c r="F4" s="4">
        <v>0.5</v>
      </c>
      <c r="G4" s="4">
        <v>0.06</v>
      </c>
      <c r="H4" s="4">
        <v>5.23</v>
      </c>
      <c r="I4" s="4">
        <v>4.8899999999999997</v>
      </c>
      <c r="J4" s="4">
        <v>1.25</v>
      </c>
      <c r="K4" s="4">
        <v>1.22</v>
      </c>
      <c r="L4" s="4">
        <v>0.44</v>
      </c>
      <c r="M4" s="4">
        <v>1</v>
      </c>
    </row>
    <row r="5" spans="1:13" ht="15" customHeight="1" x14ac:dyDescent="0.2">
      <c r="A5" s="1">
        <v>1970</v>
      </c>
      <c r="B5" s="4">
        <v>0.03</v>
      </c>
      <c r="C5" s="4">
        <v>1.25</v>
      </c>
      <c r="D5" s="4">
        <v>1.1599999999999999</v>
      </c>
      <c r="E5" s="4">
        <v>0.5</v>
      </c>
      <c r="F5" s="4">
        <v>0</v>
      </c>
      <c r="G5" s="4">
        <v>0.52</v>
      </c>
      <c r="H5" s="4">
        <v>2.3199999999999998</v>
      </c>
      <c r="I5" s="4">
        <v>1.95</v>
      </c>
      <c r="J5" s="4">
        <v>1.1399999999999999</v>
      </c>
      <c r="K5" s="4">
        <v>0.93</v>
      </c>
      <c r="L5" s="4">
        <v>0</v>
      </c>
      <c r="M5" s="4">
        <v>0.51</v>
      </c>
    </row>
    <row r="6" spans="1:13" ht="15" customHeight="1" x14ac:dyDescent="0.2">
      <c r="A6" s="1">
        <v>1971</v>
      </c>
      <c r="B6" s="4">
        <v>0.56999999999999995</v>
      </c>
      <c r="C6" s="4">
        <v>0.55000000000000004</v>
      </c>
      <c r="D6" s="4">
        <v>0</v>
      </c>
      <c r="E6" s="4">
        <v>0.64</v>
      </c>
      <c r="F6" s="4">
        <v>0</v>
      </c>
      <c r="G6" s="4">
        <v>0.18</v>
      </c>
      <c r="H6" s="4">
        <v>2.58</v>
      </c>
      <c r="I6" s="4">
        <v>1.93</v>
      </c>
      <c r="J6" s="4">
        <v>2.21</v>
      </c>
      <c r="K6" s="4">
        <v>3.26</v>
      </c>
      <c r="L6" s="4">
        <v>0.7</v>
      </c>
      <c r="M6" s="4">
        <v>1.81</v>
      </c>
    </row>
    <row r="7" spans="1:13" ht="15" customHeight="1" x14ac:dyDescent="0.2">
      <c r="A7" s="1">
        <v>1972</v>
      </c>
      <c r="B7" s="4">
        <v>0.12</v>
      </c>
      <c r="C7" s="4">
        <v>0</v>
      </c>
      <c r="D7" s="4">
        <v>0.05</v>
      </c>
      <c r="E7" s="4">
        <v>0</v>
      </c>
      <c r="F7" s="4">
        <v>0.24</v>
      </c>
      <c r="G7" s="4">
        <v>0.74</v>
      </c>
      <c r="H7" s="4">
        <v>2.6</v>
      </c>
      <c r="I7" s="4">
        <v>3.93</v>
      </c>
      <c r="J7" s="4">
        <v>2.2200000000000002</v>
      </c>
      <c r="K7" s="4">
        <v>5.33</v>
      </c>
      <c r="L7" s="4">
        <v>0.79</v>
      </c>
      <c r="M7" s="4">
        <v>1</v>
      </c>
    </row>
    <row r="8" spans="1:13" ht="15" customHeight="1" x14ac:dyDescent="0.2">
      <c r="A8" s="1">
        <v>1973</v>
      </c>
      <c r="B8" s="4">
        <v>0.88</v>
      </c>
      <c r="C8" s="4">
        <v>2.09</v>
      </c>
      <c r="D8" s="4">
        <v>1.77</v>
      </c>
      <c r="E8" s="4">
        <v>7.0000000000000007E-2</v>
      </c>
      <c r="F8" s="4">
        <v>1.04</v>
      </c>
      <c r="G8" s="4">
        <v>0.37</v>
      </c>
      <c r="H8" s="4">
        <v>3.64</v>
      </c>
      <c r="I8" s="4">
        <v>0.68</v>
      </c>
      <c r="J8" s="4">
        <v>0.33</v>
      </c>
      <c r="K8" s="4">
        <v>0.14000000000000001</v>
      </c>
      <c r="L8" s="4">
        <v>0.33</v>
      </c>
      <c r="M8" s="4">
        <v>0</v>
      </c>
    </row>
    <row r="9" spans="1:13" ht="15" customHeight="1" x14ac:dyDescent="0.2">
      <c r="A9" s="1">
        <v>1974</v>
      </c>
      <c r="B9" s="4">
        <v>0.89</v>
      </c>
      <c r="C9" s="4">
        <v>0.09</v>
      </c>
      <c r="D9" s="4">
        <v>0.42</v>
      </c>
      <c r="E9" s="4">
        <v>0.11</v>
      </c>
      <c r="F9" s="4">
        <v>0.03</v>
      </c>
      <c r="G9" s="4">
        <v>0</v>
      </c>
      <c r="H9" s="4">
        <v>1.51</v>
      </c>
      <c r="I9" s="4">
        <v>2.96</v>
      </c>
      <c r="J9" s="4">
        <v>2.54</v>
      </c>
      <c r="K9" s="4">
        <v>1.76</v>
      </c>
      <c r="L9" s="4">
        <v>0.06</v>
      </c>
      <c r="M9" s="4">
        <v>0.32</v>
      </c>
    </row>
    <row r="10" spans="1:13" ht="15" customHeight="1" x14ac:dyDescent="0.2">
      <c r="A10" s="1">
        <v>1975</v>
      </c>
      <c r="B10" s="4">
        <v>1.6</v>
      </c>
      <c r="C10" s="4">
        <v>0.22</v>
      </c>
      <c r="D10" s="4">
        <v>1.66</v>
      </c>
      <c r="E10" s="4">
        <v>0.32</v>
      </c>
      <c r="F10" s="4">
        <v>0</v>
      </c>
      <c r="G10" s="4">
        <v>0</v>
      </c>
      <c r="H10" s="4">
        <v>3.82</v>
      </c>
      <c r="I10" s="4">
        <v>3.91</v>
      </c>
      <c r="J10" s="4">
        <v>7</v>
      </c>
      <c r="K10" s="4">
        <v>0.68</v>
      </c>
      <c r="L10" s="4">
        <v>1.1399999999999999</v>
      </c>
      <c r="M10" s="4">
        <v>0.62</v>
      </c>
    </row>
    <row r="11" spans="1:13" ht="15" customHeight="1" x14ac:dyDescent="0.2">
      <c r="A11" s="1">
        <v>1976</v>
      </c>
      <c r="B11" s="4">
        <v>0.56999999999999995</v>
      </c>
      <c r="C11" s="4">
        <v>1.43</v>
      </c>
      <c r="D11" s="4">
        <v>0.4</v>
      </c>
      <c r="E11" s="4">
        <v>0.25</v>
      </c>
      <c r="F11" s="4">
        <v>0.32</v>
      </c>
      <c r="G11" s="4">
        <v>0.06</v>
      </c>
      <c r="H11" s="4">
        <v>2.57</v>
      </c>
      <c r="I11" s="4">
        <v>0.44</v>
      </c>
      <c r="J11" s="4">
        <v>1.94</v>
      </c>
      <c r="K11" s="4">
        <v>1.96</v>
      </c>
      <c r="L11" s="4">
        <v>0.34</v>
      </c>
      <c r="M11" s="4">
        <v>0.04</v>
      </c>
    </row>
    <row r="12" spans="1:13" ht="15" customHeight="1" x14ac:dyDescent="0.2">
      <c r="A12" s="1">
        <v>1977</v>
      </c>
      <c r="B12" s="4">
        <v>2.0699999999999998</v>
      </c>
      <c r="C12" s="4">
        <v>0.14000000000000001</v>
      </c>
      <c r="D12" s="4">
        <v>0.78</v>
      </c>
      <c r="E12" s="4">
        <v>0.24</v>
      </c>
      <c r="F12" s="4">
        <v>0</v>
      </c>
      <c r="G12" s="4">
        <v>0.86</v>
      </c>
      <c r="H12" s="4">
        <v>2.91</v>
      </c>
      <c r="I12" s="4">
        <v>2.77</v>
      </c>
      <c r="J12" s="4">
        <v>1.7</v>
      </c>
      <c r="K12" s="4">
        <v>0.82</v>
      </c>
      <c r="L12" s="4">
        <v>0.56999999999999995</v>
      </c>
      <c r="M12" s="4">
        <v>0.87</v>
      </c>
    </row>
    <row r="13" spans="1:13" ht="15" customHeight="1" x14ac:dyDescent="0.2">
      <c r="A13" s="1">
        <v>1978</v>
      </c>
      <c r="B13" s="4">
        <v>2.44</v>
      </c>
      <c r="C13" s="4">
        <v>1.18</v>
      </c>
      <c r="D13" s="4">
        <v>1.54</v>
      </c>
      <c r="E13" s="4">
        <v>0.03</v>
      </c>
      <c r="F13" s="4">
        <v>0.28999999999999998</v>
      </c>
      <c r="G13" s="4">
        <v>0.15</v>
      </c>
      <c r="H13" s="4">
        <v>0.52</v>
      </c>
      <c r="I13" s="4">
        <v>2.94</v>
      </c>
      <c r="J13" s="4">
        <v>1.31</v>
      </c>
      <c r="K13" s="4">
        <v>2.0699999999999998</v>
      </c>
      <c r="L13" s="4">
        <v>1.79</v>
      </c>
      <c r="M13" s="4">
        <v>2.56</v>
      </c>
    </row>
    <row r="14" spans="1:13" ht="15" customHeight="1" x14ac:dyDescent="0.2">
      <c r="A14" s="1">
        <v>1979</v>
      </c>
      <c r="B14" s="4">
        <v>2.14</v>
      </c>
      <c r="C14" s="4">
        <v>1.27</v>
      </c>
      <c r="D14" s="4">
        <v>0.5</v>
      </c>
      <c r="E14" s="4">
        <v>0.88</v>
      </c>
      <c r="F14" s="4">
        <v>0.86</v>
      </c>
      <c r="G14" s="4">
        <v>0.85</v>
      </c>
      <c r="H14" s="4">
        <v>3.16</v>
      </c>
      <c r="I14" s="4">
        <v>3.9</v>
      </c>
      <c r="J14" s="4">
        <v>0.61</v>
      </c>
      <c r="K14" s="4">
        <v>0.08</v>
      </c>
      <c r="L14" s="4">
        <v>0.13</v>
      </c>
      <c r="M14" s="4">
        <v>0.66</v>
      </c>
    </row>
    <row r="15" spans="1:13" ht="15" customHeight="1" x14ac:dyDescent="0.2">
      <c r="A15" s="1">
        <v>1980</v>
      </c>
      <c r="B15" s="4">
        <v>1.1200000000000001</v>
      </c>
      <c r="C15" s="4">
        <v>2.92</v>
      </c>
      <c r="D15" s="4">
        <v>0.67</v>
      </c>
      <c r="E15" s="4">
        <v>0.18</v>
      </c>
      <c r="F15" s="4">
        <v>0.19</v>
      </c>
      <c r="G15" s="4">
        <v>0</v>
      </c>
      <c r="H15" s="4">
        <v>1.2</v>
      </c>
      <c r="I15" s="4">
        <v>2.0499999999999998</v>
      </c>
      <c r="J15" s="4">
        <v>2.0299999999999998</v>
      </c>
      <c r="K15" s="4">
        <v>0.06</v>
      </c>
      <c r="L15" s="4">
        <v>0.2</v>
      </c>
      <c r="M15" s="4">
        <v>0.17</v>
      </c>
    </row>
    <row r="16" spans="1:13" ht="15" customHeight="1" x14ac:dyDescent="0.2">
      <c r="A16" s="1">
        <v>1981</v>
      </c>
      <c r="B16" s="4">
        <v>0.56000000000000005</v>
      </c>
      <c r="C16" s="4">
        <v>0.71</v>
      </c>
      <c r="D16" s="4">
        <v>1.32</v>
      </c>
      <c r="E16" s="4">
        <v>7.0000000000000007E-2</v>
      </c>
      <c r="F16" s="4">
        <v>0.48</v>
      </c>
      <c r="G16" s="4">
        <v>0.67</v>
      </c>
      <c r="H16" s="4">
        <v>4.45</v>
      </c>
      <c r="I16" s="4">
        <v>2.68</v>
      </c>
      <c r="J16" s="4">
        <v>0.47</v>
      </c>
      <c r="K16" s="4">
        <v>1.19</v>
      </c>
      <c r="L16" s="4">
        <v>0.81</v>
      </c>
      <c r="M16" s="4">
        <v>0.02</v>
      </c>
    </row>
    <row r="17" spans="1:13" ht="15" customHeight="1" x14ac:dyDescent="0.2">
      <c r="A17" s="1">
        <v>1982</v>
      </c>
      <c r="B17" s="4">
        <v>2</v>
      </c>
      <c r="C17" s="4">
        <v>0.87</v>
      </c>
      <c r="D17" s="4">
        <v>1.1499999999999999</v>
      </c>
      <c r="E17" s="4">
        <v>0.14000000000000001</v>
      </c>
      <c r="F17" s="4">
        <v>1.03</v>
      </c>
      <c r="G17" s="4">
        <v>0.26</v>
      </c>
      <c r="H17" s="4">
        <v>1.82</v>
      </c>
      <c r="I17" s="4">
        <v>1.78</v>
      </c>
      <c r="J17" s="4">
        <v>1.49</v>
      </c>
      <c r="K17" s="4">
        <v>0</v>
      </c>
      <c r="L17" s="4">
        <v>1.45</v>
      </c>
      <c r="M17" s="4">
        <v>1.86</v>
      </c>
    </row>
    <row r="18" spans="1:13" ht="15" customHeight="1" x14ac:dyDescent="0.2">
      <c r="A18" s="1">
        <v>1983</v>
      </c>
      <c r="B18" s="4">
        <v>1.31</v>
      </c>
      <c r="C18" s="4">
        <v>2.2200000000000002</v>
      </c>
      <c r="D18" s="4">
        <v>1.62</v>
      </c>
      <c r="E18" s="4">
        <v>0.36</v>
      </c>
      <c r="F18" s="4">
        <v>0.14000000000000001</v>
      </c>
      <c r="G18" s="4">
        <v>0.06</v>
      </c>
      <c r="H18" s="4">
        <v>1.76</v>
      </c>
      <c r="I18" s="4">
        <v>3.28</v>
      </c>
      <c r="J18" s="4">
        <v>3.53</v>
      </c>
      <c r="K18" s="4">
        <v>3.86</v>
      </c>
      <c r="L18" s="4">
        <v>2.0499999999999998</v>
      </c>
      <c r="M18" s="4">
        <v>0.5</v>
      </c>
    </row>
    <row r="19" spans="1:13" ht="15" customHeight="1" x14ac:dyDescent="0.2">
      <c r="A19" s="1">
        <v>1984</v>
      </c>
      <c r="B19" s="4">
        <v>0.56999999999999995</v>
      </c>
      <c r="C19" s="4">
        <v>0</v>
      </c>
      <c r="D19" s="4">
        <v>0.21</v>
      </c>
      <c r="E19" s="4">
        <v>0.81</v>
      </c>
      <c r="F19" s="4">
        <v>0.15</v>
      </c>
      <c r="G19" s="4">
        <v>1.57</v>
      </c>
      <c r="H19" s="4">
        <v>1.52</v>
      </c>
      <c r="I19" s="4">
        <v>6.11</v>
      </c>
      <c r="J19" s="4">
        <v>1.3</v>
      </c>
      <c r="K19" s="4">
        <v>2.09</v>
      </c>
      <c r="L19" s="4">
        <v>1.17</v>
      </c>
      <c r="M19" s="4">
        <v>3</v>
      </c>
    </row>
    <row r="20" spans="1:13" ht="15" customHeight="1" x14ac:dyDescent="0.2">
      <c r="A20" s="1">
        <v>1985</v>
      </c>
      <c r="B20" s="4">
        <v>2.78</v>
      </c>
      <c r="C20" s="4">
        <v>0.96</v>
      </c>
      <c r="D20" s="4">
        <v>1.03</v>
      </c>
      <c r="E20" s="4">
        <v>1.45</v>
      </c>
      <c r="F20" s="4">
        <v>0.59</v>
      </c>
      <c r="G20" s="4">
        <v>0.26</v>
      </c>
      <c r="H20" s="4">
        <v>1.68</v>
      </c>
      <c r="I20" s="4">
        <v>1.17</v>
      </c>
      <c r="J20" s="4">
        <v>1.94</v>
      </c>
      <c r="K20" s="4">
        <v>5.33</v>
      </c>
      <c r="L20" s="4">
        <v>1.61</v>
      </c>
      <c r="M20" s="4">
        <v>0.3</v>
      </c>
    </row>
    <row r="21" spans="1:13" ht="15" customHeight="1" x14ac:dyDescent="0.2">
      <c r="A21" s="1">
        <v>1986</v>
      </c>
      <c r="B21" s="4">
        <v>0.02</v>
      </c>
      <c r="C21" s="4">
        <v>2.0099999999999998</v>
      </c>
      <c r="D21" s="4">
        <v>1.98</v>
      </c>
      <c r="E21" s="4">
        <v>7.0000000000000007E-2</v>
      </c>
      <c r="F21" s="4">
        <v>0.59</v>
      </c>
      <c r="G21" s="4">
        <v>1.2</v>
      </c>
      <c r="H21" s="4">
        <v>4.4000000000000004</v>
      </c>
      <c r="I21" s="4">
        <v>4.3899999999999997</v>
      </c>
      <c r="J21" s="4">
        <v>1.26</v>
      </c>
      <c r="K21" s="4">
        <v>1.75</v>
      </c>
      <c r="L21" s="4">
        <v>0.85</v>
      </c>
      <c r="M21" s="4">
        <v>2.63</v>
      </c>
    </row>
    <row r="22" spans="1:13" ht="15" customHeight="1" x14ac:dyDescent="0.2">
      <c r="A22" s="1">
        <v>1987</v>
      </c>
      <c r="B22" s="4">
        <v>0.39</v>
      </c>
      <c r="C22" s="4">
        <v>0.68</v>
      </c>
      <c r="D22" s="4">
        <v>0.74</v>
      </c>
      <c r="E22" s="4">
        <v>0.28000000000000003</v>
      </c>
      <c r="F22" s="4">
        <v>0.49</v>
      </c>
      <c r="G22" s="4">
        <v>0.55000000000000004</v>
      </c>
      <c r="H22" s="4">
        <v>3.84</v>
      </c>
      <c r="I22" s="4">
        <v>4.79</v>
      </c>
      <c r="J22" s="4">
        <v>1.43</v>
      </c>
      <c r="K22" s="4">
        <v>1.01</v>
      </c>
      <c r="L22" s="4">
        <v>0.43</v>
      </c>
      <c r="M22" s="4">
        <v>1.53</v>
      </c>
    </row>
    <row r="23" spans="1:13" ht="15" customHeight="1" x14ac:dyDescent="0.2">
      <c r="A23" s="1">
        <v>1988</v>
      </c>
      <c r="B23" s="4">
        <v>1</v>
      </c>
      <c r="C23" s="4">
        <v>1.1599999999999999</v>
      </c>
      <c r="D23" s="4">
        <v>0.64</v>
      </c>
      <c r="E23" s="4">
        <v>1.86</v>
      </c>
      <c r="F23" s="4">
        <v>0.04</v>
      </c>
      <c r="G23" s="4">
        <v>0.43</v>
      </c>
      <c r="H23" s="4">
        <v>4.93</v>
      </c>
      <c r="I23" s="4">
        <v>4.51</v>
      </c>
      <c r="J23" s="4">
        <v>3.11</v>
      </c>
      <c r="K23" s="4">
        <v>1.3</v>
      </c>
      <c r="L23" s="4">
        <v>1.1200000000000001</v>
      </c>
      <c r="M23" s="4">
        <v>0.46</v>
      </c>
    </row>
    <row r="24" spans="1:13" ht="15" customHeight="1" x14ac:dyDescent="0.2">
      <c r="A24" s="1">
        <v>1989</v>
      </c>
      <c r="B24" s="4">
        <v>1.22</v>
      </c>
      <c r="C24" s="4">
        <v>0.85</v>
      </c>
      <c r="D24" s="4">
        <v>0.4</v>
      </c>
      <c r="E24" s="4">
        <v>0.03</v>
      </c>
      <c r="F24" s="4">
        <v>0.39</v>
      </c>
      <c r="G24" s="4">
        <v>0.08</v>
      </c>
      <c r="H24" s="4">
        <v>3.12</v>
      </c>
      <c r="I24" s="4">
        <v>1.38</v>
      </c>
      <c r="J24" s="4">
        <v>1.01</v>
      </c>
      <c r="K24" s="4">
        <v>0.87</v>
      </c>
      <c r="L24" s="4">
        <v>0.06</v>
      </c>
      <c r="M24" s="4">
        <v>0.15</v>
      </c>
    </row>
    <row r="25" spans="1:13" ht="15" customHeight="1" x14ac:dyDescent="0.2">
      <c r="A25" s="1">
        <v>1990</v>
      </c>
      <c r="B25" s="4">
        <v>0.77</v>
      </c>
      <c r="C25" s="4">
        <v>1.02</v>
      </c>
      <c r="D25" s="4">
        <v>0.79</v>
      </c>
      <c r="E25" s="4">
        <v>0.31</v>
      </c>
      <c r="F25" s="4">
        <v>0.66</v>
      </c>
      <c r="G25" s="4">
        <v>0.41</v>
      </c>
      <c r="H25" s="4">
        <v>5.42</v>
      </c>
      <c r="I25" s="4">
        <v>1.86</v>
      </c>
      <c r="J25" s="4">
        <v>1.85</v>
      </c>
      <c r="K25" s="4">
        <v>1.21</v>
      </c>
      <c r="L25" s="4">
        <v>2.02</v>
      </c>
      <c r="M25" s="4">
        <v>3.22</v>
      </c>
    </row>
    <row r="26" spans="1:13" ht="15" customHeight="1" x14ac:dyDescent="0.2">
      <c r="A26" s="1">
        <v>1991</v>
      </c>
      <c r="B26" s="4">
        <v>0.98</v>
      </c>
      <c r="C26" s="4">
        <v>2.04</v>
      </c>
      <c r="D26" s="4">
        <v>2.54</v>
      </c>
      <c r="E26" s="4">
        <v>0</v>
      </c>
      <c r="F26" s="4">
        <v>0.08</v>
      </c>
      <c r="G26" s="4">
        <v>0.19</v>
      </c>
      <c r="H26" s="4">
        <v>3.8</v>
      </c>
      <c r="I26" s="4">
        <v>3.15</v>
      </c>
      <c r="J26" s="4">
        <v>2.29</v>
      </c>
      <c r="K26" s="4">
        <v>0.56000000000000005</v>
      </c>
      <c r="L26" s="4">
        <v>0.79</v>
      </c>
      <c r="M26" s="4">
        <v>3.96</v>
      </c>
    </row>
    <row r="27" spans="1:13" ht="15" customHeight="1" x14ac:dyDescent="0.2">
      <c r="A27" s="1">
        <v>1992</v>
      </c>
      <c r="B27" s="4">
        <v>1.55</v>
      </c>
      <c r="C27" s="4">
        <v>1.21</v>
      </c>
      <c r="D27" s="4">
        <v>1.52</v>
      </c>
      <c r="E27" s="4">
        <v>1.1000000000000001</v>
      </c>
      <c r="F27" s="4">
        <v>3.64</v>
      </c>
      <c r="G27" s="4">
        <v>0.3</v>
      </c>
      <c r="H27" s="4">
        <v>1.26</v>
      </c>
      <c r="I27" s="4">
        <v>3.14</v>
      </c>
      <c r="J27" s="4">
        <v>1.03</v>
      </c>
      <c r="K27" s="4">
        <v>1.53</v>
      </c>
      <c r="L27" s="4">
        <v>0.04</v>
      </c>
      <c r="M27" s="4">
        <v>4.58</v>
      </c>
    </row>
    <row r="28" spans="1:13" ht="15" customHeight="1" x14ac:dyDescent="0.2">
      <c r="A28" s="1">
        <v>1993</v>
      </c>
      <c r="B28" s="4">
        <v>5.4</v>
      </c>
      <c r="C28" s="4">
        <v>2.4900000000000002</v>
      </c>
      <c r="D28" s="4">
        <v>0.61</v>
      </c>
      <c r="E28" s="4">
        <v>0</v>
      </c>
      <c r="F28" s="4">
        <v>0.09</v>
      </c>
      <c r="G28" s="4">
        <v>0.06</v>
      </c>
      <c r="H28" s="4">
        <v>1.22</v>
      </c>
      <c r="I28" s="4">
        <v>4.6399999999999997</v>
      </c>
      <c r="J28" s="4">
        <v>0.56999999999999995</v>
      </c>
      <c r="K28" s="4">
        <v>1.45</v>
      </c>
      <c r="L28" s="4">
        <v>0.8</v>
      </c>
      <c r="M28" s="4">
        <v>0.34</v>
      </c>
    </row>
    <row r="29" spans="1:13" ht="15" customHeight="1" x14ac:dyDescent="0.2">
      <c r="A29" s="1">
        <v>1994</v>
      </c>
      <c r="B29" s="4">
        <v>0.27</v>
      </c>
      <c r="C29" s="4">
        <v>1.22</v>
      </c>
      <c r="D29" s="4">
        <v>1.25</v>
      </c>
      <c r="E29" s="4">
        <v>0.48</v>
      </c>
      <c r="F29" s="4">
        <v>0.92</v>
      </c>
      <c r="G29" s="4">
        <v>0.26</v>
      </c>
      <c r="H29" s="4">
        <v>0.93</v>
      </c>
      <c r="I29" s="4">
        <v>0.96</v>
      </c>
      <c r="J29" s="4">
        <v>2.04</v>
      </c>
      <c r="K29" s="4">
        <v>0.7</v>
      </c>
      <c r="L29" s="4">
        <v>4.1900000000000004</v>
      </c>
      <c r="M29" s="4">
        <v>3.63</v>
      </c>
    </row>
    <row r="30" spans="1:13" ht="15" customHeight="1" x14ac:dyDescent="0.2">
      <c r="A30" s="1">
        <v>1995</v>
      </c>
      <c r="B30" s="4">
        <v>0.97</v>
      </c>
      <c r="C30" s="4">
        <v>1.1000000000000001</v>
      </c>
      <c r="D30" s="4">
        <v>0.66</v>
      </c>
      <c r="E30" s="4">
        <v>0.15</v>
      </c>
      <c r="F30" s="4">
        <v>0</v>
      </c>
      <c r="G30" s="4">
        <v>0.05</v>
      </c>
      <c r="H30" s="4">
        <v>0.92</v>
      </c>
      <c r="I30" s="4">
        <v>1.18</v>
      </c>
      <c r="J30" s="4">
        <v>1.48</v>
      </c>
      <c r="K30" s="4">
        <v>0</v>
      </c>
      <c r="L30" s="4">
        <v>0.41</v>
      </c>
      <c r="M30" s="4">
        <v>0.8</v>
      </c>
    </row>
    <row r="31" spans="1:13" ht="15" customHeight="1" x14ac:dyDescent="0.2">
      <c r="A31" s="1">
        <v>1996</v>
      </c>
      <c r="B31" s="4">
        <v>0.11</v>
      </c>
      <c r="C31" s="4">
        <v>1.44</v>
      </c>
      <c r="D31" s="4">
        <v>0.04</v>
      </c>
      <c r="E31" s="4">
        <v>0.1</v>
      </c>
      <c r="F31" s="4">
        <v>0</v>
      </c>
      <c r="G31" s="4">
        <v>2.23</v>
      </c>
      <c r="H31" s="4">
        <v>3.45</v>
      </c>
      <c r="I31" s="4">
        <v>4.49</v>
      </c>
      <c r="J31" s="4">
        <v>2.93</v>
      </c>
      <c r="K31" s="4">
        <v>2.0299999999999998</v>
      </c>
      <c r="L31" s="4">
        <v>0.99</v>
      </c>
      <c r="M31" s="4">
        <v>0</v>
      </c>
    </row>
    <row r="32" spans="1:13" ht="15" customHeight="1" x14ac:dyDescent="0.2">
      <c r="A32" s="1">
        <v>1997</v>
      </c>
      <c r="B32" s="4">
        <v>1.37</v>
      </c>
      <c r="C32" s="4">
        <v>1.72</v>
      </c>
      <c r="D32" s="4">
        <v>0.11</v>
      </c>
      <c r="E32" s="4">
        <v>0.27</v>
      </c>
      <c r="F32" s="4">
        <v>2.54</v>
      </c>
      <c r="G32" s="4">
        <v>0.19</v>
      </c>
      <c r="H32" s="4">
        <v>2.5499999999999998</v>
      </c>
      <c r="I32" s="4">
        <v>2.42</v>
      </c>
      <c r="J32" s="4">
        <v>4.4800000000000004</v>
      </c>
      <c r="K32" s="4">
        <v>1.88</v>
      </c>
      <c r="L32" s="4">
        <v>1.02</v>
      </c>
      <c r="M32" s="4">
        <v>2.1</v>
      </c>
    </row>
    <row r="33" spans="1:16" ht="15" customHeight="1" x14ac:dyDescent="0.2">
      <c r="A33" s="1">
        <v>1998</v>
      </c>
      <c r="B33" s="4">
        <v>0.28999999999999998</v>
      </c>
      <c r="C33" s="4">
        <v>1.79</v>
      </c>
      <c r="D33" s="4">
        <v>1.27</v>
      </c>
      <c r="E33" s="4">
        <v>0.17</v>
      </c>
      <c r="F33" s="4">
        <v>0</v>
      </c>
      <c r="G33" s="4">
        <v>0</v>
      </c>
      <c r="H33" s="4">
        <v>5.6</v>
      </c>
      <c r="I33" s="4">
        <v>1.03</v>
      </c>
      <c r="J33" s="4">
        <v>1.0900000000000001</v>
      </c>
      <c r="K33" s="4">
        <v>1.42</v>
      </c>
      <c r="L33" s="4">
        <v>1.02</v>
      </c>
      <c r="M33" s="4">
        <v>0.49</v>
      </c>
    </row>
    <row r="34" spans="1:16" ht="15" customHeight="1" x14ac:dyDescent="0.2">
      <c r="A34" s="1">
        <v>1999</v>
      </c>
      <c r="B34" s="4">
        <v>0.11</v>
      </c>
      <c r="C34" s="4">
        <v>0</v>
      </c>
      <c r="D34" s="4">
        <v>0.35</v>
      </c>
      <c r="E34" s="4">
        <v>0.39</v>
      </c>
      <c r="F34" s="4">
        <v>0.08</v>
      </c>
      <c r="G34" s="4">
        <v>0.93</v>
      </c>
      <c r="H34" s="4">
        <v>5.09</v>
      </c>
      <c r="I34" s="4">
        <v>1.88</v>
      </c>
      <c r="J34" s="4">
        <v>1.85</v>
      </c>
      <c r="K34" s="4">
        <v>0</v>
      </c>
      <c r="L34" s="4">
        <v>0</v>
      </c>
      <c r="M34" s="4">
        <v>7.0000000000000007E-2</v>
      </c>
    </row>
    <row r="35" spans="1:16" ht="15" customHeight="1" x14ac:dyDescent="0.2">
      <c r="A35" s="1">
        <v>2000</v>
      </c>
      <c r="B35" s="4">
        <v>0.06</v>
      </c>
      <c r="C35" s="4">
        <v>7.0000000000000007E-2</v>
      </c>
      <c r="D35" s="4">
        <v>0.8</v>
      </c>
      <c r="E35" s="4">
        <v>0.03</v>
      </c>
      <c r="F35" s="4">
        <v>0</v>
      </c>
      <c r="G35" s="4">
        <v>2.19</v>
      </c>
      <c r="H35" s="4">
        <v>1.63</v>
      </c>
      <c r="I35" s="4">
        <v>2.54</v>
      </c>
      <c r="J35" s="4">
        <v>0.04</v>
      </c>
      <c r="K35" s="4">
        <v>3.2</v>
      </c>
      <c r="L35" s="4">
        <v>2.14</v>
      </c>
      <c r="M35" s="4">
        <v>0.18</v>
      </c>
    </row>
    <row r="36" spans="1:16" ht="15" customHeight="1" x14ac:dyDescent="0.2">
      <c r="A36" s="1">
        <v>2001</v>
      </c>
      <c r="B36" s="4">
        <v>0.74</v>
      </c>
      <c r="C36" s="4">
        <v>0.84</v>
      </c>
      <c r="D36" s="4">
        <v>0.08</v>
      </c>
      <c r="E36" s="4">
        <v>0.68</v>
      </c>
      <c r="F36" s="4">
        <v>0.34</v>
      </c>
      <c r="G36" s="4">
        <v>0.74</v>
      </c>
      <c r="H36" s="4">
        <v>1.7</v>
      </c>
      <c r="I36" s="4">
        <v>5.13</v>
      </c>
      <c r="J36" s="4">
        <v>0.84</v>
      </c>
      <c r="K36" s="4">
        <v>0</v>
      </c>
      <c r="L36" s="4">
        <v>0.28000000000000003</v>
      </c>
      <c r="M36" s="4">
        <v>0.67</v>
      </c>
    </row>
    <row r="37" spans="1:16" ht="15" customHeight="1" x14ac:dyDescent="0.2">
      <c r="A37" s="1">
        <v>2002</v>
      </c>
      <c r="B37" s="4">
        <v>0.38</v>
      </c>
      <c r="C37" s="4">
        <v>0.51</v>
      </c>
      <c r="D37" s="4">
        <v>0</v>
      </c>
      <c r="E37" s="4">
        <v>0</v>
      </c>
      <c r="F37" s="4">
        <v>0</v>
      </c>
      <c r="G37" s="4">
        <v>0.14000000000000001</v>
      </c>
      <c r="H37" s="4">
        <v>3.1</v>
      </c>
      <c r="I37" s="4">
        <v>1.5</v>
      </c>
      <c r="J37" s="4">
        <v>3.36</v>
      </c>
      <c r="K37" s="4">
        <v>1</v>
      </c>
      <c r="L37" s="4">
        <v>0.22</v>
      </c>
      <c r="M37" s="4">
        <v>1.73</v>
      </c>
    </row>
    <row r="38" spans="1:16" ht="15" customHeight="1" x14ac:dyDescent="0.2">
      <c r="A38" s="1">
        <v>2003</v>
      </c>
      <c r="B38" s="4">
        <v>0.19</v>
      </c>
      <c r="C38" s="4">
        <v>0.43</v>
      </c>
      <c r="D38" s="4">
        <v>0.96</v>
      </c>
      <c r="E38" s="4">
        <v>0.19</v>
      </c>
      <c r="F38" s="4">
        <v>0</v>
      </c>
      <c r="G38" s="4">
        <v>0.18</v>
      </c>
      <c r="H38" s="4">
        <v>1.96</v>
      </c>
      <c r="I38" s="4">
        <v>0.6</v>
      </c>
      <c r="J38" s="4">
        <v>0.14000000000000001</v>
      </c>
      <c r="K38" s="4">
        <v>0.47</v>
      </c>
      <c r="L38" s="4">
        <v>1.58</v>
      </c>
      <c r="M38" s="4">
        <v>0.23</v>
      </c>
    </row>
    <row r="39" spans="1:16" ht="15" customHeight="1" x14ac:dyDescent="0.2">
      <c r="A39" s="1">
        <v>2004</v>
      </c>
      <c r="B39" s="4">
        <v>1.47</v>
      </c>
      <c r="C39" s="4">
        <v>1.1499999999999999</v>
      </c>
      <c r="D39" s="4">
        <v>1.17</v>
      </c>
      <c r="E39" s="4">
        <v>2.44</v>
      </c>
      <c r="F39" s="4">
        <v>0.31</v>
      </c>
      <c r="G39" s="4">
        <v>0.54</v>
      </c>
      <c r="H39" s="4">
        <v>1.82</v>
      </c>
      <c r="I39" s="4">
        <v>2.79</v>
      </c>
      <c r="J39" s="4">
        <v>2.84</v>
      </c>
      <c r="K39" s="4">
        <v>1.1200000000000001</v>
      </c>
      <c r="L39" s="4">
        <v>0.91</v>
      </c>
      <c r="M39" s="4">
        <v>1.32</v>
      </c>
    </row>
    <row r="40" spans="1:16" ht="15" customHeight="1" x14ac:dyDescent="0.2">
      <c r="A40" s="1">
        <v>2005</v>
      </c>
      <c r="B40" s="4">
        <v>2.66</v>
      </c>
      <c r="C40" s="4">
        <v>3.95</v>
      </c>
      <c r="D40" s="4">
        <v>0.52</v>
      </c>
      <c r="E40" s="4">
        <v>0.4</v>
      </c>
      <c r="F40" s="4">
        <v>0.79</v>
      </c>
      <c r="G40" s="4">
        <v>0.01</v>
      </c>
      <c r="H40" s="4">
        <v>1.73</v>
      </c>
      <c r="I40" s="4">
        <v>1.01</v>
      </c>
      <c r="J40" s="4">
        <v>1.62</v>
      </c>
      <c r="K40" s="4">
        <v>1.06</v>
      </c>
      <c r="L40" s="4">
        <v>0</v>
      </c>
      <c r="M40" s="4">
        <v>0.21</v>
      </c>
    </row>
    <row r="41" spans="1:16" ht="15" customHeight="1" x14ac:dyDescent="0.2">
      <c r="A41" s="1">
        <v>2006</v>
      </c>
      <c r="B41" s="4">
        <v>0.52</v>
      </c>
      <c r="C41" s="4">
        <v>0.16</v>
      </c>
      <c r="D41" s="4">
        <v>0.39</v>
      </c>
      <c r="E41" s="4">
        <v>0.37</v>
      </c>
      <c r="F41" s="4">
        <v>7.0000000000000007E-2</v>
      </c>
      <c r="G41" s="4">
        <v>0.95</v>
      </c>
      <c r="H41" s="4">
        <v>4.49</v>
      </c>
      <c r="I41" s="4">
        <v>6.23</v>
      </c>
      <c r="J41" s="4">
        <v>1.62</v>
      </c>
      <c r="K41" s="4">
        <v>2.63</v>
      </c>
      <c r="L41" s="4">
        <v>0.09</v>
      </c>
      <c r="M41" s="4">
        <v>0.82</v>
      </c>
    </row>
    <row r="42" spans="1:16" ht="15" customHeight="1" x14ac:dyDescent="0.2">
      <c r="A42" s="1">
        <v>2007</v>
      </c>
      <c r="B42" s="4">
        <v>2.11</v>
      </c>
      <c r="C42" s="4">
        <v>0.66</v>
      </c>
      <c r="D42" s="4">
        <v>1.17</v>
      </c>
      <c r="E42" s="4">
        <v>0.59</v>
      </c>
      <c r="F42" s="4">
        <v>1.69</v>
      </c>
      <c r="G42" s="4">
        <v>0.27</v>
      </c>
      <c r="H42" s="4">
        <v>2.1800000000000002</v>
      </c>
      <c r="I42" s="4">
        <v>2.39</v>
      </c>
      <c r="J42" s="4">
        <v>3.44</v>
      </c>
      <c r="K42" s="4">
        <v>0.14000000000000001</v>
      </c>
      <c r="L42" s="4">
        <v>0.57999999999999996</v>
      </c>
      <c r="M42" s="4">
        <v>1.86</v>
      </c>
    </row>
    <row r="43" spans="1:16" ht="15" customHeight="1" x14ac:dyDescent="0.2">
      <c r="A43" s="1">
        <v>2008</v>
      </c>
      <c r="B43" s="4">
        <v>1.04</v>
      </c>
      <c r="C43" s="4">
        <v>0.33</v>
      </c>
      <c r="D43" s="4">
        <v>0</v>
      </c>
      <c r="E43" s="4">
        <v>0.04</v>
      </c>
      <c r="F43" s="4">
        <v>0.73</v>
      </c>
      <c r="G43" s="4">
        <v>0.67</v>
      </c>
      <c r="H43" s="4">
        <v>2.73</v>
      </c>
      <c r="I43" s="4">
        <v>3.9</v>
      </c>
      <c r="J43" s="4">
        <v>2.57</v>
      </c>
      <c r="K43" s="4">
        <v>1.03</v>
      </c>
      <c r="L43" s="4">
        <v>0.77</v>
      </c>
      <c r="M43" s="4">
        <v>1.33</v>
      </c>
    </row>
    <row r="44" spans="1:16" ht="15" customHeight="1" x14ac:dyDescent="0.2">
      <c r="A44" s="1">
        <v>2009</v>
      </c>
      <c r="B44" s="4">
        <v>0.23</v>
      </c>
      <c r="C44" s="4">
        <v>0.23</v>
      </c>
      <c r="D44" s="4">
        <v>0.26</v>
      </c>
      <c r="E44" s="4">
        <v>0.01</v>
      </c>
      <c r="F44" s="4">
        <v>0.19</v>
      </c>
      <c r="G44" s="4">
        <v>1.89</v>
      </c>
      <c r="H44" s="4">
        <v>0.79</v>
      </c>
      <c r="I44" s="4">
        <v>1.55</v>
      </c>
      <c r="J44" s="4">
        <v>3.63</v>
      </c>
      <c r="K44" s="4">
        <v>0.38</v>
      </c>
      <c r="L44" s="4">
        <v>0.62</v>
      </c>
      <c r="M44" s="4">
        <v>1.01</v>
      </c>
      <c r="N44" s="4"/>
    </row>
    <row r="45" spans="1:16" ht="15" customHeight="1" x14ac:dyDescent="0.2">
      <c r="A45" s="1">
        <v>2010</v>
      </c>
      <c r="B45" s="4">
        <v>2.99</v>
      </c>
      <c r="C45" s="4">
        <v>2.2799999999999998</v>
      </c>
      <c r="D45" s="4">
        <v>0.63</v>
      </c>
      <c r="E45" s="4">
        <v>0.56999999999999995</v>
      </c>
      <c r="F45" s="4">
        <v>0.16</v>
      </c>
      <c r="G45" s="4">
        <v>2.0699999999999998</v>
      </c>
      <c r="H45" s="4">
        <v>3.46</v>
      </c>
      <c r="I45" s="4">
        <v>3.08</v>
      </c>
      <c r="J45" s="4">
        <v>1.36</v>
      </c>
      <c r="K45" s="4">
        <v>1.1299999999999999</v>
      </c>
      <c r="L45" s="4">
        <v>0</v>
      </c>
      <c r="M45" s="4">
        <v>1.48</v>
      </c>
      <c r="N45" s="4"/>
    </row>
    <row r="46" spans="1:16" ht="15" customHeight="1" x14ac:dyDescent="0.2">
      <c r="A46" s="1">
        <v>2011</v>
      </c>
      <c r="B46" s="4">
        <v>7.0000000000000007E-2</v>
      </c>
      <c r="C46" s="4">
        <v>0.14000000000000001</v>
      </c>
      <c r="D46" s="4">
        <v>0.08</v>
      </c>
      <c r="E46" s="4">
        <v>0.06</v>
      </c>
      <c r="F46" s="4">
        <v>0</v>
      </c>
      <c r="G46" s="4">
        <v>0.06</v>
      </c>
      <c r="H46" s="4">
        <v>1.37</v>
      </c>
      <c r="I46" s="4">
        <v>3.2</v>
      </c>
      <c r="J46" s="4">
        <v>1.46</v>
      </c>
      <c r="K46" s="4">
        <v>0.37</v>
      </c>
      <c r="L46" s="4">
        <v>0.71</v>
      </c>
      <c r="M46" s="4">
        <v>2.98</v>
      </c>
      <c r="N46" s="4"/>
    </row>
    <row r="47" spans="1:16" ht="15" customHeight="1" x14ac:dyDescent="0.2">
      <c r="A47" s="1">
        <v>2012</v>
      </c>
      <c r="B47" s="4">
        <v>0.28999999999999998</v>
      </c>
      <c r="C47" s="4">
        <v>0.65</v>
      </c>
      <c r="D47" s="4">
        <v>0.46</v>
      </c>
      <c r="E47" s="4">
        <v>0</v>
      </c>
      <c r="F47" s="4">
        <v>0</v>
      </c>
      <c r="G47" s="4">
        <v>0.16</v>
      </c>
      <c r="H47" s="4">
        <v>1.73</v>
      </c>
      <c r="I47" s="4">
        <v>2.15</v>
      </c>
      <c r="J47" s="4">
        <v>0.28000000000000003</v>
      </c>
      <c r="K47" s="4">
        <v>0</v>
      </c>
      <c r="L47" s="4">
        <v>0.38</v>
      </c>
      <c r="M47" s="4">
        <v>0</v>
      </c>
      <c r="N47" s="4"/>
    </row>
    <row r="48" spans="1:16" ht="15" customHeight="1" x14ac:dyDescent="0.2">
      <c r="A48" s="1">
        <v>2013</v>
      </c>
      <c r="B48" s="4">
        <v>0.79</v>
      </c>
      <c r="C48" s="4">
        <v>0.05</v>
      </c>
      <c r="D48" s="4">
        <v>0.52</v>
      </c>
      <c r="E48" s="4">
        <v>0.37</v>
      </c>
      <c r="F48" s="4">
        <v>0.2</v>
      </c>
      <c r="G48" s="4">
        <v>0.78</v>
      </c>
      <c r="H48" s="4">
        <v>6.32</v>
      </c>
      <c r="I48" s="4">
        <v>2.57</v>
      </c>
      <c r="J48" s="4">
        <v>5.44</v>
      </c>
      <c r="K48" s="4">
        <v>0</v>
      </c>
      <c r="L48" s="4">
        <v>1.72</v>
      </c>
      <c r="M48" s="4">
        <v>0.51</v>
      </c>
      <c r="N48" s="4"/>
      <c r="P48" s="7"/>
    </row>
    <row r="49" spans="1:16" ht="15" customHeight="1" x14ac:dyDescent="0.2">
      <c r="A49" s="1">
        <v>2014</v>
      </c>
      <c r="B49" s="4">
        <v>0</v>
      </c>
      <c r="C49" s="4">
        <v>0.08</v>
      </c>
      <c r="D49" s="4">
        <v>0.99</v>
      </c>
      <c r="E49" s="4">
        <v>0.08</v>
      </c>
      <c r="F49" s="4">
        <v>0</v>
      </c>
      <c r="G49" s="4">
        <v>0</v>
      </c>
      <c r="H49" s="4">
        <v>2.5499999999999998</v>
      </c>
      <c r="I49" s="4">
        <v>1.84</v>
      </c>
      <c r="J49" s="4">
        <v>7.35</v>
      </c>
      <c r="K49" s="4">
        <v>1.19</v>
      </c>
      <c r="L49" s="4">
        <v>0.56999999999999995</v>
      </c>
      <c r="M49" s="4">
        <v>1.26</v>
      </c>
      <c r="N49" s="4"/>
      <c r="P49" s="4"/>
    </row>
    <row r="50" spans="1:16" ht="15" customHeight="1" x14ac:dyDescent="0.2">
      <c r="A50" s="1">
        <v>2015</v>
      </c>
      <c r="B50" s="4">
        <v>2.19</v>
      </c>
      <c r="C50" s="4">
        <v>0.19</v>
      </c>
      <c r="D50" s="4">
        <v>0.94</v>
      </c>
      <c r="E50" s="4">
        <v>0.47</v>
      </c>
      <c r="F50" s="4">
        <v>0.86</v>
      </c>
      <c r="G50" s="4">
        <v>1.08</v>
      </c>
      <c r="H50" s="4">
        <v>2.83</v>
      </c>
      <c r="I50" s="4">
        <v>1.45</v>
      </c>
      <c r="J50" s="4">
        <v>0.7</v>
      </c>
      <c r="K50" s="4">
        <v>0.81</v>
      </c>
      <c r="L50" s="4">
        <v>2</v>
      </c>
      <c r="M50" s="4">
        <v>1.1299999999999999</v>
      </c>
      <c r="N50" s="4"/>
    </row>
    <row r="51" spans="1:16" ht="15" customHeight="1" x14ac:dyDescent="0.2">
      <c r="A51" s="1">
        <v>2016</v>
      </c>
      <c r="B51" s="4">
        <v>1.22</v>
      </c>
      <c r="C51" s="4">
        <v>0.28999999999999998</v>
      </c>
      <c r="D51" s="4">
        <v>0</v>
      </c>
      <c r="E51" s="4">
        <v>0.4</v>
      </c>
      <c r="F51" s="4">
        <v>0.95</v>
      </c>
      <c r="G51" s="4">
        <v>0.21</v>
      </c>
      <c r="H51" s="4">
        <v>3.76</v>
      </c>
      <c r="I51" s="4">
        <v>2.39</v>
      </c>
      <c r="J51" s="4">
        <v>2.86</v>
      </c>
      <c r="K51" s="4">
        <v>0.05</v>
      </c>
      <c r="L51" s="4">
        <v>0.39</v>
      </c>
      <c r="M51" s="4">
        <v>2.35</v>
      </c>
      <c r="N51" s="4"/>
    </row>
    <row r="52" spans="1:16" ht="15" customHeight="1" x14ac:dyDescent="0.2">
      <c r="A52" s="1">
        <v>2017</v>
      </c>
      <c r="B52" s="4">
        <v>3.35</v>
      </c>
      <c r="C52" s="4">
        <v>1.1399999999999999</v>
      </c>
      <c r="D52" s="4">
        <v>0.03</v>
      </c>
      <c r="E52" s="4">
        <v>0.02</v>
      </c>
      <c r="F52" s="4">
        <v>0.12</v>
      </c>
      <c r="G52" s="4">
        <v>1.19</v>
      </c>
      <c r="H52" s="4">
        <v>1.6</v>
      </c>
      <c r="I52" s="4">
        <v>2.58</v>
      </c>
      <c r="J52" s="4">
        <v>0.19</v>
      </c>
      <c r="K52" s="4">
        <v>0</v>
      </c>
      <c r="L52" s="4">
        <v>0.01</v>
      </c>
      <c r="M52" s="4">
        <v>0.48</v>
      </c>
      <c r="N52" s="4"/>
    </row>
    <row r="53" spans="1:16" ht="15" customHeight="1" x14ac:dyDescent="0.2">
      <c r="A53" s="1">
        <v>2018</v>
      </c>
      <c r="B53" s="4">
        <v>0.45</v>
      </c>
      <c r="C53" s="4">
        <v>2.4900000000000002</v>
      </c>
      <c r="D53" s="4">
        <v>0.16</v>
      </c>
      <c r="E53" s="4">
        <v>0</v>
      </c>
      <c r="F53" s="4">
        <v>0</v>
      </c>
      <c r="G53" s="4">
        <v>0.76</v>
      </c>
      <c r="H53" s="4">
        <v>2.5499999999999998</v>
      </c>
      <c r="I53" s="4">
        <v>2.97</v>
      </c>
      <c r="J53" s="4">
        <v>1.44</v>
      </c>
      <c r="K53" s="4">
        <v>2.23</v>
      </c>
      <c r="L53" s="4">
        <v>0.01</v>
      </c>
      <c r="M53" s="4">
        <v>1.74</v>
      </c>
      <c r="N53" s="4"/>
    </row>
    <row r="54" spans="1:16" ht="15" customHeight="1" x14ac:dyDescent="0.2">
      <c r="A54" s="1">
        <v>2019</v>
      </c>
      <c r="B54" s="4">
        <v>1.01</v>
      </c>
      <c r="C54" s="4">
        <v>1.79</v>
      </c>
      <c r="D54" s="4">
        <v>0.91</v>
      </c>
      <c r="E54" s="4">
        <v>0.62</v>
      </c>
      <c r="F54" s="4">
        <v>0.37</v>
      </c>
      <c r="G54" s="4">
        <v>0.37</v>
      </c>
      <c r="H54" s="4">
        <v>1.69</v>
      </c>
      <c r="I54" s="4">
        <v>0.79</v>
      </c>
      <c r="J54" s="4">
        <v>1.64</v>
      </c>
      <c r="K54" s="4">
        <v>0.12</v>
      </c>
      <c r="L54" s="4">
        <v>3.66</v>
      </c>
      <c r="M54" s="4">
        <v>2.62</v>
      </c>
      <c r="N54" s="4"/>
    </row>
    <row r="55" spans="1:16" ht="15" customHeight="1" x14ac:dyDescent="0.2">
      <c r="A55" s="1">
        <v>2020</v>
      </c>
      <c r="B55" s="4">
        <v>0.84</v>
      </c>
      <c r="C55" s="4">
        <v>1.48</v>
      </c>
      <c r="D55" s="4">
        <v>1.24</v>
      </c>
      <c r="E55" s="4">
        <v>0.02</v>
      </c>
      <c r="F55" s="4">
        <v>0.09</v>
      </c>
      <c r="G55" s="4">
        <v>0.73</v>
      </c>
      <c r="H55" s="4">
        <v>2.97</v>
      </c>
      <c r="I55" s="4">
        <v>1.3</v>
      </c>
      <c r="J55" s="4">
        <v>1.35</v>
      </c>
      <c r="K55" s="4">
        <v>0.7</v>
      </c>
      <c r="L55" s="4">
        <v>0.27</v>
      </c>
      <c r="M55" s="4">
        <v>0.6</v>
      </c>
      <c r="N55" s="4"/>
    </row>
    <row r="56" spans="1:16" ht="15" customHeight="1" x14ac:dyDescent="0.2">
      <c r="A56" s="1">
        <v>2021</v>
      </c>
      <c r="B56" s="4">
        <v>1.1599999999999999</v>
      </c>
      <c r="C56" s="4">
        <v>0.47</v>
      </c>
      <c r="D56" s="4">
        <v>0.43</v>
      </c>
      <c r="E56" s="4">
        <v>0</v>
      </c>
      <c r="F56" s="4">
        <v>0</v>
      </c>
      <c r="G56" s="4">
        <v>0.89</v>
      </c>
      <c r="H56" s="4">
        <v>4.4800000000000004</v>
      </c>
      <c r="I56" s="4">
        <v>4.4400000000000004</v>
      </c>
      <c r="J56" s="4">
        <v>4.24</v>
      </c>
      <c r="K56" s="4">
        <v>0.3</v>
      </c>
      <c r="L56" s="4">
        <v>0.1</v>
      </c>
      <c r="M56" s="4">
        <v>1.17</v>
      </c>
      <c r="N56" s="4"/>
      <c r="O56" s="4"/>
    </row>
    <row r="57" spans="1:16" ht="15" customHeight="1" x14ac:dyDescent="0.2">
      <c r="A57" s="1">
        <v>2022</v>
      </c>
      <c r="B57" s="4">
        <v>1.23</v>
      </c>
      <c r="C57" s="4">
        <v>0.37</v>
      </c>
      <c r="D57" s="4">
        <v>0.61</v>
      </c>
      <c r="E57" s="4">
        <v>0</v>
      </c>
      <c r="F57" s="4">
        <v>0</v>
      </c>
      <c r="G57" s="4">
        <v>4.41</v>
      </c>
      <c r="H57" s="4">
        <v>1.7100000000000002</v>
      </c>
      <c r="I57" s="4">
        <v>5.09</v>
      </c>
      <c r="J57" s="4">
        <v>2.5100000000000002</v>
      </c>
      <c r="K57" s="4">
        <v>3.9099999999999997</v>
      </c>
      <c r="L57" s="4">
        <v>0.19</v>
      </c>
      <c r="M57" s="4">
        <v>1.9</v>
      </c>
      <c r="N57" s="4"/>
      <c r="O57" s="4"/>
    </row>
    <row r="58" spans="1:16" ht="15" customHeight="1" x14ac:dyDescent="0.2">
      <c r="A58" s="1">
        <v>2023</v>
      </c>
      <c r="B58" s="1">
        <v>1.1299999999999999</v>
      </c>
      <c r="C58" s="1">
        <v>0.54</v>
      </c>
      <c r="D58" s="1">
        <v>0.73</v>
      </c>
      <c r="E58" s="1">
        <v>0</v>
      </c>
      <c r="F58" s="1">
        <v>0.88</v>
      </c>
      <c r="G58" s="1">
        <v>0.01</v>
      </c>
      <c r="H58" s="1">
        <v>0.66</v>
      </c>
      <c r="I58" s="1">
        <v>0.73</v>
      </c>
      <c r="J58" s="1">
        <v>2.76</v>
      </c>
      <c r="K58" s="1">
        <v>0.43</v>
      </c>
      <c r="L58" s="1">
        <v>0.27</v>
      </c>
      <c r="M58" s="1">
        <v>1.4</v>
      </c>
      <c r="O58" s="4"/>
    </row>
    <row r="59" spans="1:16" ht="15" customHeight="1" x14ac:dyDescent="0.2">
      <c r="A59" s="1">
        <v>2024</v>
      </c>
      <c r="B59" s="1">
        <v>1.86</v>
      </c>
      <c r="C59" s="1">
        <v>2.21</v>
      </c>
      <c r="D59" s="1">
        <v>1.52</v>
      </c>
      <c r="E59" s="1">
        <v>0.14000000000000001</v>
      </c>
      <c r="F59" s="1">
        <v>0</v>
      </c>
      <c r="G59" s="1">
        <v>0.88</v>
      </c>
      <c r="H59" s="1">
        <v>3.45</v>
      </c>
      <c r="I59" s="1">
        <v>1.24</v>
      </c>
      <c r="J59" s="1">
        <v>0.59</v>
      </c>
      <c r="K59" s="1">
        <v>0.24</v>
      </c>
      <c r="L59" s="1">
        <v>0.32</v>
      </c>
      <c r="M59" s="1">
        <v>0</v>
      </c>
      <c r="O59" s="4"/>
    </row>
    <row r="60" spans="1:16" ht="15" customHeight="1" x14ac:dyDescent="0.2">
      <c r="A60" s="2" t="s">
        <v>7</v>
      </c>
      <c r="B60" s="2"/>
      <c r="C60" s="2"/>
      <c r="D60" s="2"/>
      <c r="E60" s="2"/>
      <c r="F60" s="2" t="s">
        <v>2</v>
      </c>
      <c r="G60" s="2"/>
      <c r="H60" s="2"/>
      <c r="I60" s="2"/>
      <c r="J60" s="2"/>
      <c r="K60" s="2"/>
      <c r="L60" s="2"/>
      <c r="M60" s="2"/>
      <c r="O60" s="4"/>
    </row>
    <row r="61" spans="1:16" ht="15" customHeight="1" x14ac:dyDescent="0.2">
      <c r="A61" s="2"/>
      <c r="B61" s="5" t="s">
        <v>123</v>
      </c>
      <c r="C61" s="5" t="s">
        <v>124</v>
      </c>
      <c r="D61" s="5" t="s">
        <v>125</v>
      </c>
      <c r="E61" s="5" t="s">
        <v>126</v>
      </c>
      <c r="F61" s="5" t="s">
        <v>127</v>
      </c>
      <c r="G61" s="5" t="s">
        <v>128</v>
      </c>
      <c r="H61" s="5" t="s">
        <v>129</v>
      </c>
      <c r="I61" s="5" t="s">
        <v>130</v>
      </c>
      <c r="J61" s="5" t="s">
        <v>131</v>
      </c>
      <c r="K61" s="5" t="s">
        <v>132</v>
      </c>
      <c r="L61" s="5" t="s">
        <v>133</v>
      </c>
      <c r="M61" s="5" t="s">
        <v>134</v>
      </c>
      <c r="O61" s="4"/>
    </row>
    <row r="62" spans="1:16" ht="15" customHeight="1" x14ac:dyDescent="0.2">
      <c r="A62" s="1">
        <v>1968</v>
      </c>
      <c r="B62" s="9">
        <v>39.5</v>
      </c>
      <c r="C62" s="9">
        <v>45.3</v>
      </c>
      <c r="D62" s="9">
        <v>47.1</v>
      </c>
      <c r="E62" s="9">
        <v>51.6</v>
      </c>
      <c r="F62" s="9">
        <v>61.1</v>
      </c>
      <c r="G62" s="9">
        <v>72.400000000000006</v>
      </c>
      <c r="H62" s="9">
        <v>75</v>
      </c>
      <c r="I62" s="9">
        <v>70.900000000000006</v>
      </c>
      <c r="J62" s="9">
        <v>66</v>
      </c>
      <c r="K62" s="9">
        <v>58.5</v>
      </c>
      <c r="L62" s="9">
        <v>45.3</v>
      </c>
      <c r="M62" s="9">
        <v>36.799999999999997</v>
      </c>
      <c r="O62" s="4"/>
    </row>
    <row r="63" spans="1:16" ht="15" customHeight="1" x14ac:dyDescent="0.2">
      <c r="A63" s="1">
        <v>1969</v>
      </c>
      <c r="B63" s="9">
        <v>42.8</v>
      </c>
      <c r="C63" s="9">
        <v>44.3</v>
      </c>
      <c r="D63" s="9">
        <v>43.9</v>
      </c>
      <c r="E63" s="9">
        <v>55.6</v>
      </c>
      <c r="F63" s="9">
        <v>63.3</v>
      </c>
      <c r="G63" s="9">
        <v>70.599999999999994</v>
      </c>
      <c r="H63" s="9">
        <v>76.7</v>
      </c>
      <c r="I63" s="9">
        <v>76.599999999999994</v>
      </c>
      <c r="J63" s="9">
        <v>68.5</v>
      </c>
      <c r="K63" s="9">
        <v>56</v>
      </c>
      <c r="L63" s="9">
        <v>45</v>
      </c>
      <c r="M63" s="9">
        <v>38.9</v>
      </c>
      <c r="O63" s="4"/>
    </row>
    <row r="64" spans="1:16" ht="15" customHeight="1" x14ac:dyDescent="0.2">
      <c r="A64" s="1">
        <v>1970</v>
      </c>
      <c r="B64" s="9">
        <v>36.1</v>
      </c>
      <c r="C64" s="9">
        <v>43.5</v>
      </c>
      <c r="D64" s="9">
        <v>45.5</v>
      </c>
      <c r="E64" s="9">
        <v>49.8</v>
      </c>
      <c r="F64" s="9">
        <v>63.1</v>
      </c>
      <c r="G64" s="9">
        <v>72.599999999999994</v>
      </c>
      <c r="H64" s="9">
        <v>76.900000000000006</v>
      </c>
      <c r="I64" s="9">
        <v>75.599999999999994</v>
      </c>
      <c r="J64" s="9">
        <v>68.3</v>
      </c>
      <c r="K64" s="9">
        <v>52.7</v>
      </c>
      <c r="L64" s="9">
        <v>45.7</v>
      </c>
      <c r="M64" s="9">
        <v>38.9</v>
      </c>
      <c r="O64" s="4"/>
    </row>
    <row r="65" spans="1:15" ht="15" customHeight="1" x14ac:dyDescent="0.2">
      <c r="A65" s="1">
        <v>1971</v>
      </c>
      <c r="B65" s="9">
        <v>37.1</v>
      </c>
      <c r="C65" s="9">
        <v>44.3</v>
      </c>
      <c r="D65" s="9">
        <v>47.6</v>
      </c>
      <c r="E65" s="9">
        <v>53.5</v>
      </c>
      <c r="F65" s="9">
        <v>60</v>
      </c>
      <c r="G65" s="9">
        <v>71.2</v>
      </c>
      <c r="H65" s="9">
        <v>78.400000000000006</v>
      </c>
      <c r="I65" s="9">
        <v>73.3</v>
      </c>
      <c r="J65" s="9">
        <v>68.599999999999994</v>
      </c>
      <c r="K65" s="9">
        <v>56</v>
      </c>
      <c r="L65" s="9">
        <v>46.5</v>
      </c>
      <c r="M65" s="9">
        <v>38.799999999999997</v>
      </c>
      <c r="O65" s="4"/>
    </row>
    <row r="66" spans="1:15" ht="15" customHeight="1" x14ac:dyDescent="0.2">
      <c r="A66" s="1">
        <v>1972</v>
      </c>
      <c r="B66" s="9">
        <v>39.4</v>
      </c>
      <c r="C66" s="9">
        <v>41.6</v>
      </c>
      <c r="D66" s="9">
        <v>52.4</v>
      </c>
      <c r="E66" s="9">
        <v>54</v>
      </c>
      <c r="F66" s="9">
        <v>61.2</v>
      </c>
      <c r="G66" s="9">
        <v>71.2</v>
      </c>
      <c r="H66" s="9">
        <v>76.900000000000006</v>
      </c>
      <c r="I66" s="9">
        <v>73</v>
      </c>
      <c r="J66" s="9">
        <v>67.400000000000006</v>
      </c>
      <c r="K66" s="9">
        <v>59.8</v>
      </c>
      <c r="L66" s="9">
        <v>42.1</v>
      </c>
      <c r="M66" s="9">
        <v>38.9</v>
      </c>
      <c r="O66" s="4"/>
    </row>
    <row r="67" spans="1:15" ht="15" customHeight="1" x14ac:dyDescent="0.2">
      <c r="A67" s="1">
        <v>1973</v>
      </c>
      <c r="B67" s="9">
        <v>36.1</v>
      </c>
      <c r="C67" s="9">
        <v>44.2</v>
      </c>
      <c r="D67" s="9">
        <v>44.8</v>
      </c>
      <c r="E67" s="9">
        <v>49.8</v>
      </c>
      <c r="F67" s="9">
        <v>61.8</v>
      </c>
      <c r="G67" s="9">
        <v>70.5</v>
      </c>
      <c r="H67" s="9">
        <v>74.7</v>
      </c>
      <c r="I67" s="9">
        <v>73.599999999999994</v>
      </c>
      <c r="J67" s="9">
        <v>67.5</v>
      </c>
      <c r="K67" s="9">
        <v>56.9</v>
      </c>
      <c r="L67" s="9">
        <v>45.7</v>
      </c>
      <c r="M67" s="9">
        <v>37.299999999999997</v>
      </c>
      <c r="O67" s="4"/>
    </row>
    <row r="68" spans="1:15" ht="15" customHeight="1" x14ac:dyDescent="0.2">
      <c r="A68" s="1">
        <v>1974</v>
      </c>
      <c r="B68" s="9">
        <v>40.299999999999997</v>
      </c>
      <c r="C68" s="9">
        <v>38.200000000000003</v>
      </c>
      <c r="D68" s="9">
        <v>49.9</v>
      </c>
      <c r="E68" s="9">
        <v>54.3</v>
      </c>
      <c r="F68" s="9">
        <v>64</v>
      </c>
      <c r="G68" s="9">
        <v>75.2</v>
      </c>
      <c r="H68" s="9">
        <v>74.8</v>
      </c>
      <c r="I68" s="9">
        <v>72.400000000000006</v>
      </c>
      <c r="J68" s="9">
        <v>67</v>
      </c>
      <c r="K68" s="9">
        <v>58.2</v>
      </c>
      <c r="L68" s="9">
        <v>45.6</v>
      </c>
      <c r="M68" s="9">
        <v>36.799999999999997</v>
      </c>
      <c r="O68" s="4"/>
    </row>
    <row r="69" spans="1:15" ht="15" customHeight="1" x14ac:dyDescent="0.2">
      <c r="A69" s="1">
        <v>1975</v>
      </c>
      <c r="B69" s="9">
        <v>38</v>
      </c>
      <c r="C69" s="9">
        <v>41.1</v>
      </c>
      <c r="D69" s="9">
        <v>46.4</v>
      </c>
      <c r="E69" s="9">
        <v>49.8</v>
      </c>
      <c r="F69" s="9">
        <v>58.8</v>
      </c>
      <c r="G69" s="9">
        <v>69.7</v>
      </c>
      <c r="H69" s="9">
        <v>74.7</v>
      </c>
      <c r="I69" s="9">
        <v>74.7</v>
      </c>
      <c r="J69" s="9">
        <v>65.5</v>
      </c>
      <c r="K69" s="9">
        <v>55.9</v>
      </c>
      <c r="L69" s="9">
        <v>44.2</v>
      </c>
      <c r="M69" s="9">
        <v>39.200000000000003</v>
      </c>
    </row>
    <row r="70" spans="1:15" ht="15" customHeight="1" x14ac:dyDescent="0.2">
      <c r="A70" s="1">
        <v>1976</v>
      </c>
      <c r="B70" s="9">
        <v>37</v>
      </c>
      <c r="C70" s="9">
        <v>44.5</v>
      </c>
      <c r="D70" s="9">
        <v>46</v>
      </c>
      <c r="E70" s="9">
        <v>53.2</v>
      </c>
      <c r="F70" s="9">
        <v>62.2</v>
      </c>
      <c r="G70" s="9">
        <v>70.3</v>
      </c>
      <c r="H70" s="9">
        <v>74.099999999999994</v>
      </c>
      <c r="I70" s="9">
        <v>73.400000000000006</v>
      </c>
      <c r="J70" s="9">
        <v>66.599999999999994</v>
      </c>
      <c r="K70" s="9">
        <v>53.8</v>
      </c>
      <c r="L70" s="9">
        <v>44.6</v>
      </c>
      <c r="M70" s="9">
        <v>36.6</v>
      </c>
    </row>
    <row r="71" spans="1:15" ht="15" customHeight="1" x14ac:dyDescent="0.2">
      <c r="A71" s="1">
        <v>1977</v>
      </c>
      <c r="B71" s="9">
        <v>38.9</v>
      </c>
      <c r="C71" s="9">
        <v>42.3</v>
      </c>
      <c r="D71" s="9">
        <v>47.4</v>
      </c>
      <c r="E71" s="9">
        <v>54.5</v>
      </c>
      <c r="F71" s="9">
        <v>60.6</v>
      </c>
      <c r="G71" s="9">
        <v>71.8</v>
      </c>
      <c r="H71" s="9">
        <v>76.599999999999994</v>
      </c>
      <c r="I71" s="9">
        <v>76.099999999999994</v>
      </c>
      <c r="J71" s="9">
        <v>69.7</v>
      </c>
      <c r="K71" s="9">
        <v>59.8</v>
      </c>
      <c r="L71" s="9">
        <v>47.9</v>
      </c>
      <c r="M71" s="9">
        <v>42</v>
      </c>
    </row>
    <row r="72" spans="1:15" ht="15" customHeight="1" x14ac:dyDescent="0.2">
      <c r="A72" s="1">
        <v>1978</v>
      </c>
      <c r="B72" s="9">
        <v>40.299999999999997</v>
      </c>
      <c r="C72" s="9">
        <v>42.1</v>
      </c>
      <c r="D72" s="9">
        <v>50.3</v>
      </c>
      <c r="E72" s="9">
        <v>54.7</v>
      </c>
      <c r="F72" s="9">
        <v>62.5</v>
      </c>
      <c r="G72" s="9">
        <v>73.7</v>
      </c>
      <c r="H72" s="9">
        <v>78.400000000000006</v>
      </c>
      <c r="I72" s="9">
        <v>73.5</v>
      </c>
      <c r="J72" s="9">
        <v>67.900000000000006</v>
      </c>
      <c r="K72" s="9">
        <v>59.9</v>
      </c>
      <c r="L72" s="9">
        <v>49.4</v>
      </c>
      <c r="M72" s="9">
        <v>37.299999999999997</v>
      </c>
    </row>
    <row r="73" spans="1:15" ht="15" customHeight="1" x14ac:dyDescent="0.2">
      <c r="A73" s="1">
        <v>1979</v>
      </c>
      <c r="B73" s="9">
        <v>36.799999999999997</v>
      </c>
      <c r="C73" s="9">
        <v>42</v>
      </c>
      <c r="D73" s="9">
        <v>46.6</v>
      </c>
      <c r="E73" s="9">
        <v>54.1</v>
      </c>
      <c r="F73" s="9">
        <v>61.2</v>
      </c>
      <c r="G73" s="9">
        <v>69.7</v>
      </c>
      <c r="H73" s="9">
        <v>77.5</v>
      </c>
      <c r="I73" s="9">
        <v>71.8</v>
      </c>
      <c r="J73" s="9">
        <v>68.5</v>
      </c>
      <c r="K73" s="9">
        <v>59.3</v>
      </c>
      <c r="L73" s="9">
        <v>42.8</v>
      </c>
      <c r="M73" s="9">
        <v>40.9</v>
      </c>
    </row>
    <row r="74" spans="1:15" ht="15" customHeight="1" x14ac:dyDescent="0.2">
      <c r="A74" s="1">
        <v>1980</v>
      </c>
      <c r="B74" s="9">
        <v>42.7</v>
      </c>
      <c r="C74" s="9">
        <v>44.6</v>
      </c>
      <c r="D74" s="9">
        <v>46.4</v>
      </c>
      <c r="E74" s="9">
        <v>53.7</v>
      </c>
      <c r="F74" s="9">
        <v>60</v>
      </c>
      <c r="G74" s="9">
        <v>74.400000000000006</v>
      </c>
      <c r="H74" s="9">
        <v>78.900000000000006</v>
      </c>
      <c r="I74" s="9">
        <v>74.599999999999994</v>
      </c>
      <c r="J74" s="9">
        <v>69.2</v>
      </c>
      <c r="K74" s="9">
        <v>54.3</v>
      </c>
      <c r="L74" s="9">
        <v>45.2</v>
      </c>
      <c r="M74" s="9">
        <v>43</v>
      </c>
    </row>
    <row r="75" spans="1:15" ht="15" customHeight="1" x14ac:dyDescent="0.2">
      <c r="A75" s="1">
        <v>1981</v>
      </c>
      <c r="B75" s="9">
        <v>43</v>
      </c>
      <c r="C75" s="9">
        <v>44.9</v>
      </c>
      <c r="D75" s="9">
        <v>47.5</v>
      </c>
      <c r="E75" s="9">
        <v>58.4</v>
      </c>
      <c r="F75" s="9">
        <v>64.2</v>
      </c>
      <c r="G75" s="9">
        <v>75</v>
      </c>
      <c r="H75" s="9">
        <v>75.5</v>
      </c>
      <c r="I75" s="9">
        <v>72.7</v>
      </c>
      <c r="J75" s="9">
        <v>68.8</v>
      </c>
      <c r="K75" s="9">
        <v>57.9</v>
      </c>
      <c r="L75" s="9">
        <v>47.4</v>
      </c>
      <c r="M75" s="9">
        <v>41.2</v>
      </c>
    </row>
    <row r="76" spans="1:15" ht="15" customHeight="1" x14ac:dyDescent="0.2">
      <c r="A76" s="1">
        <v>1982</v>
      </c>
      <c r="B76" s="9">
        <v>39.9</v>
      </c>
      <c r="C76" s="9">
        <v>43.8</v>
      </c>
      <c r="D76" s="9">
        <v>47.4</v>
      </c>
      <c r="E76" s="9">
        <v>54.6</v>
      </c>
      <c r="F76" s="9">
        <v>60.7</v>
      </c>
      <c r="G76" s="9">
        <v>68.400000000000006</v>
      </c>
      <c r="H76" s="9">
        <v>75.2</v>
      </c>
      <c r="I76" s="9">
        <v>74</v>
      </c>
      <c r="J76" s="9">
        <v>67.5</v>
      </c>
      <c r="K76" s="9">
        <v>53.1</v>
      </c>
      <c r="L76" s="9">
        <v>44.4</v>
      </c>
      <c r="M76" s="9">
        <v>39.700000000000003</v>
      </c>
    </row>
    <row r="77" spans="1:15" ht="15" customHeight="1" x14ac:dyDescent="0.2">
      <c r="A77" s="1">
        <v>1983</v>
      </c>
      <c r="B77" s="9">
        <v>40</v>
      </c>
      <c r="C77" s="9">
        <v>42.9</v>
      </c>
      <c r="D77" s="9">
        <v>47.1</v>
      </c>
      <c r="E77" s="9">
        <v>48.4</v>
      </c>
      <c r="F77" s="9">
        <v>60</v>
      </c>
      <c r="G77" s="9">
        <v>68.5</v>
      </c>
      <c r="H77" s="9">
        <v>75.3</v>
      </c>
      <c r="I77" s="9">
        <v>75.400000000000006</v>
      </c>
      <c r="J77" s="9">
        <v>71.2</v>
      </c>
      <c r="K77" s="9">
        <v>58.9</v>
      </c>
      <c r="L77" s="9">
        <v>46</v>
      </c>
      <c r="M77" s="9">
        <v>39.6</v>
      </c>
    </row>
    <row r="78" spans="1:15" ht="15" customHeight="1" x14ac:dyDescent="0.2">
      <c r="A78" s="1">
        <v>1984</v>
      </c>
      <c r="B78" s="9">
        <v>39.700000000000003</v>
      </c>
      <c r="C78" s="9">
        <v>38.799999999999997</v>
      </c>
      <c r="D78" s="9">
        <v>46.4</v>
      </c>
      <c r="E78" s="9">
        <v>52.3</v>
      </c>
      <c r="F78" s="9">
        <v>67</v>
      </c>
      <c r="G78" s="9">
        <v>72.900000000000006</v>
      </c>
      <c r="H78" s="9">
        <v>76.599999999999994</v>
      </c>
      <c r="I78" s="9">
        <v>72.599999999999994</v>
      </c>
      <c r="J78" s="9">
        <v>69.400000000000006</v>
      </c>
      <c r="K78" s="9">
        <v>56</v>
      </c>
      <c r="L78" s="9">
        <v>48.5</v>
      </c>
      <c r="M78" s="9">
        <v>43.9</v>
      </c>
    </row>
    <row r="79" spans="1:15" ht="15" customHeight="1" x14ac:dyDescent="0.2">
      <c r="A79" s="1">
        <v>1985</v>
      </c>
      <c r="B79" s="9">
        <v>38.5</v>
      </c>
      <c r="C79" s="9">
        <v>41.6</v>
      </c>
      <c r="D79" s="9">
        <v>49.5</v>
      </c>
      <c r="E79" s="9">
        <v>57.1</v>
      </c>
      <c r="F79" s="9">
        <v>63.7</v>
      </c>
      <c r="G79" s="9">
        <v>73.5</v>
      </c>
      <c r="H79" s="9">
        <v>76.7</v>
      </c>
      <c r="I79" s="9">
        <v>75.400000000000006</v>
      </c>
      <c r="J79" s="9">
        <v>66.599999999999994</v>
      </c>
      <c r="K79" s="9">
        <v>57.8</v>
      </c>
      <c r="L79" s="9">
        <v>47.2</v>
      </c>
      <c r="M79" s="9">
        <v>39.9</v>
      </c>
    </row>
    <row r="80" spans="1:15" ht="15" customHeight="1" x14ac:dyDescent="0.2">
      <c r="A80" s="1">
        <v>1986</v>
      </c>
      <c r="B80" s="9">
        <v>42.7</v>
      </c>
      <c r="C80" s="9">
        <v>45.7</v>
      </c>
      <c r="D80" s="9">
        <v>50.7</v>
      </c>
      <c r="E80" s="9">
        <v>57</v>
      </c>
      <c r="F80" s="9">
        <v>63.9</v>
      </c>
      <c r="G80" s="9">
        <v>72.8</v>
      </c>
      <c r="H80" s="9">
        <v>74.8</v>
      </c>
      <c r="I80" s="9">
        <v>75.400000000000006</v>
      </c>
      <c r="J80" s="9">
        <v>66.5</v>
      </c>
      <c r="K80" s="9">
        <v>55.7</v>
      </c>
      <c r="L80" s="9">
        <v>44.9</v>
      </c>
      <c r="M80" s="9">
        <v>36.799999999999997</v>
      </c>
    </row>
    <row r="81" spans="1:13" ht="15" customHeight="1" x14ac:dyDescent="0.2">
      <c r="A81" s="1">
        <v>1987</v>
      </c>
      <c r="B81" s="9">
        <v>37.200000000000003</v>
      </c>
      <c r="C81" s="9">
        <v>39.9</v>
      </c>
      <c r="D81" s="9">
        <v>43.7</v>
      </c>
      <c r="E81" s="9">
        <v>54.5</v>
      </c>
      <c r="F81" s="9">
        <v>59.5</v>
      </c>
      <c r="G81" s="9">
        <v>69.8</v>
      </c>
      <c r="H81" s="9">
        <v>71.8</v>
      </c>
      <c r="I81" s="9">
        <v>71.8</v>
      </c>
      <c r="J81" s="9">
        <v>64.8</v>
      </c>
      <c r="K81" s="9">
        <v>59.8</v>
      </c>
      <c r="L81" s="9">
        <v>43.7</v>
      </c>
      <c r="M81" s="9">
        <v>35.9</v>
      </c>
    </row>
    <row r="82" spans="1:13" ht="15" customHeight="1" x14ac:dyDescent="0.2">
      <c r="A82" s="1">
        <v>1988</v>
      </c>
      <c r="B82" s="9">
        <v>37.700000000000003</v>
      </c>
      <c r="C82" s="9">
        <v>43.6</v>
      </c>
      <c r="D82" s="9">
        <v>45.2</v>
      </c>
      <c r="E82" s="9">
        <v>53.1</v>
      </c>
      <c r="F82" s="9">
        <v>60.3</v>
      </c>
      <c r="G82" s="9">
        <v>71</v>
      </c>
      <c r="H82" s="9">
        <v>73.599999999999994</v>
      </c>
      <c r="I82" s="9">
        <v>72</v>
      </c>
      <c r="J82" s="9">
        <v>64.099999999999994</v>
      </c>
      <c r="K82" s="9">
        <v>59.3</v>
      </c>
      <c r="L82" s="9">
        <v>45.1</v>
      </c>
      <c r="M82" s="9">
        <v>37.799999999999997</v>
      </c>
    </row>
    <row r="83" spans="1:13" ht="15" customHeight="1" x14ac:dyDescent="0.2">
      <c r="A83" s="1">
        <v>1989</v>
      </c>
      <c r="B83" s="9">
        <v>37.799999999999997</v>
      </c>
      <c r="C83" s="9">
        <v>44.8</v>
      </c>
      <c r="D83" s="9">
        <v>50.2</v>
      </c>
      <c r="E83" s="9">
        <v>58.1</v>
      </c>
      <c r="F83" s="9">
        <v>63.3</v>
      </c>
      <c r="G83" s="9">
        <v>70.3</v>
      </c>
      <c r="H83" s="9">
        <v>75.900000000000006</v>
      </c>
      <c r="I83" s="9">
        <v>72.5</v>
      </c>
      <c r="J83" s="9">
        <v>67.099999999999994</v>
      </c>
      <c r="K83" s="9">
        <v>56.2</v>
      </c>
      <c r="L83" s="9">
        <v>45.8</v>
      </c>
      <c r="M83" s="9">
        <v>35.6</v>
      </c>
    </row>
    <row r="84" spans="1:13" ht="15" customHeight="1" x14ac:dyDescent="0.2">
      <c r="A84" s="1">
        <v>1990</v>
      </c>
      <c r="B84" s="9">
        <v>37.299999999999997</v>
      </c>
      <c r="C84" s="9">
        <v>39.799999999999997</v>
      </c>
      <c r="D84" s="9">
        <v>48.4</v>
      </c>
      <c r="E84" s="9">
        <v>56.3</v>
      </c>
      <c r="F84" s="9">
        <v>60.1</v>
      </c>
      <c r="G84" s="9">
        <v>74.5</v>
      </c>
      <c r="H84" s="9">
        <v>73.3</v>
      </c>
      <c r="I84" s="9">
        <v>70</v>
      </c>
      <c r="J84" s="9">
        <v>69.8</v>
      </c>
      <c r="K84" s="9">
        <v>56.1</v>
      </c>
      <c r="L84" s="9">
        <v>46.5</v>
      </c>
      <c r="M84" s="9">
        <v>33.6</v>
      </c>
    </row>
    <row r="85" spans="1:13" ht="15" customHeight="1" x14ac:dyDescent="0.2">
      <c r="A85" s="1">
        <v>1991</v>
      </c>
      <c r="B85" s="9">
        <v>38</v>
      </c>
      <c r="C85" s="9">
        <v>43.6</v>
      </c>
      <c r="D85" s="9">
        <v>43.3</v>
      </c>
      <c r="E85" s="9">
        <v>50.9</v>
      </c>
      <c r="F85" s="9">
        <v>59</v>
      </c>
      <c r="G85" s="9">
        <v>66</v>
      </c>
      <c r="H85" s="9">
        <v>72.7</v>
      </c>
      <c r="I85" s="9">
        <v>72</v>
      </c>
      <c r="J85" s="9">
        <v>65.5</v>
      </c>
      <c r="K85" s="9">
        <v>57.1</v>
      </c>
      <c r="L85" s="9">
        <v>43.4</v>
      </c>
      <c r="M85" s="9">
        <v>36.700000000000003</v>
      </c>
    </row>
    <row r="86" spans="1:13" ht="15" customHeight="1" x14ac:dyDescent="0.2">
      <c r="A86" s="1">
        <v>1992</v>
      </c>
      <c r="B86" s="9">
        <v>35.5</v>
      </c>
      <c r="C86" s="9">
        <v>42.5</v>
      </c>
      <c r="D86" s="9">
        <v>46.4</v>
      </c>
      <c r="E86" s="9">
        <v>55.4</v>
      </c>
      <c r="F86" s="9">
        <v>60.9</v>
      </c>
      <c r="G86" s="9">
        <v>66.400000000000006</v>
      </c>
      <c r="H86" s="9">
        <v>73.400000000000006</v>
      </c>
      <c r="I86" s="9">
        <v>71.7</v>
      </c>
      <c r="J86" s="9">
        <v>67</v>
      </c>
      <c r="K86" s="9">
        <v>57.5</v>
      </c>
      <c r="L86" s="9">
        <v>39.700000000000003</v>
      </c>
      <c r="M86" s="9">
        <v>38.6</v>
      </c>
    </row>
    <row r="87" spans="1:13" ht="15" customHeight="1" x14ac:dyDescent="0.2">
      <c r="A87" s="1">
        <v>1993</v>
      </c>
      <c r="B87" s="9">
        <v>42.3</v>
      </c>
      <c r="C87" s="9">
        <v>41</v>
      </c>
      <c r="D87" s="9">
        <v>48</v>
      </c>
      <c r="E87" s="9">
        <v>52.8</v>
      </c>
      <c r="F87" s="9">
        <v>61.8</v>
      </c>
      <c r="G87" s="9">
        <v>69.900000000000006</v>
      </c>
      <c r="H87" s="9">
        <v>74.3</v>
      </c>
      <c r="I87" s="9">
        <v>72.8</v>
      </c>
      <c r="J87" s="9">
        <v>66.2</v>
      </c>
      <c r="K87" s="9">
        <v>55.6</v>
      </c>
      <c r="L87" s="9">
        <v>43.5</v>
      </c>
      <c r="M87" s="9">
        <v>38</v>
      </c>
    </row>
    <row r="88" spans="1:13" ht="15" customHeight="1" x14ac:dyDescent="0.2">
      <c r="A88" s="1">
        <v>1994</v>
      </c>
      <c r="B88" s="9">
        <v>37.700000000000003</v>
      </c>
      <c r="C88" s="9">
        <v>40.9</v>
      </c>
      <c r="D88" s="9">
        <v>49.2</v>
      </c>
      <c r="E88" s="9">
        <v>54.2</v>
      </c>
      <c r="F88" s="9">
        <v>62.5</v>
      </c>
      <c r="G88" s="9">
        <v>74.8</v>
      </c>
      <c r="H88" s="9">
        <v>76.2</v>
      </c>
      <c r="I88" s="9">
        <v>76.599999999999994</v>
      </c>
      <c r="J88" s="9">
        <v>69</v>
      </c>
      <c r="K88" s="9">
        <v>56.1</v>
      </c>
      <c r="L88" s="9">
        <v>44.2</v>
      </c>
      <c r="M88" s="9">
        <v>41.8</v>
      </c>
    </row>
    <row r="89" spans="1:13" ht="15" customHeight="1" x14ac:dyDescent="0.2">
      <c r="A89" s="1">
        <v>1995</v>
      </c>
      <c r="B89" s="9">
        <v>38.799999999999997</v>
      </c>
      <c r="C89" s="9">
        <v>46.2</v>
      </c>
      <c r="D89" s="9">
        <v>47.5</v>
      </c>
      <c r="E89" s="9">
        <v>49.9</v>
      </c>
      <c r="F89" s="9">
        <v>58</v>
      </c>
      <c r="G89" s="9">
        <v>67.900000000000006</v>
      </c>
      <c r="H89" s="9">
        <v>73.8</v>
      </c>
      <c r="I89" s="9">
        <v>75.900000000000006</v>
      </c>
      <c r="J89" s="9">
        <v>68.3</v>
      </c>
      <c r="K89" s="9">
        <v>56.9</v>
      </c>
      <c r="L89" s="9">
        <v>48.6</v>
      </c>
      <c r="M89" s="9">
        <v>39.700000000000003</v>
      </c>
    </row>
    <row r="90" spans="1:13" ht="15" customHeight="1" x14ac:dyDescent="0.2">
      <c r="A90" s="1">
        <v>1996</v>
      </c>
      <c r="B90" s="9">
        <v>38.200000000000003</v>
      </c>
      <c r="C90" s="9">
        <v>47.3</v>
      </c>
      <c r="D90" s="9">
        <v>46.3</v>
      </c>
      <c r="E90" s="9">
        <v>54.5</v>
      </c>
      <c r="F90" s="9">
        <v>63.8</v>
      </c>
      <c r="G90" s="9">
        <v>73.3</v>
      </c>
      <c r="H90" s="9">
        <v>75.3</v>
      </c>
      <c r="I90" s="9">
        <v>72.3</v>
      </c>
      <c r="J90" s="9">
        <v>64</v>
      </c>
      <c r="K90" s="9">
        <v>55.5</v>
      </c>
      <c r="L90" s="9">
        <v>45.4</v>
      </c>
      <c r="M90" s="9">
        <v>37.5</v>
      </c>
    </row>
    <row r="91" spans="1:13" ht="15" customHeight="1" x14ac:dyDescent="0.2">
      <c r="A91" s="1">
        <v>1997</v>
      </c>
      <c r="B91" s="9">
        <v>37.6</v>
      </c>
      <c r="C91" s="9">
        <v>40.5</v>
      </c>
      <c r="D91" s="9">
        <v>47.8</v>
      </c>
      <c r="E91" s="9">
        <v>51.4</v>
      </c>
      <c r="F91" s="9">
        <v>63.5</v>
      </c>
      <c r="G91" s="9">
        <v>68</v>
      </c>
      <c r="H91" s="9">
        <v>74.3</v>
      </c>
      <c r="I91" s="9">
        <v>72.8</v>
      </c>
      <c r="J91" s="9">
        <v>70.400000000000006</v>
      </c>
      <c r="K91" s="9">
        <v>54.9</v>
      </c>
      <c r="L91" s="9">
        <v>45.2</v>
      </c>
      <c r="M91" s="9">
        <v>35.6</v>
      </c>
    </row>
    <row r="92" spans="1:13" ht="15" customHeight="1" x14ac:dyDescent="0.2">
      <c r="A92" s="1">
        <v>1998</v>
      </c>
      <c r="B92" s="9">
        <v>38</v>
      </c>
      <c r="C92" s="9">
        <v>39.4</v>
      </c>
      <c r="D92" s="9">
        <v>44.9</v>
      </c>
      <c r="E92" s="9">
        <v>48.1</v>
      </c>
      <c r="F92" s="9">
        <v>58.6</v>
      </c>
      <c r="G92" s="9">
        <v>66.599999999999994</v>
      </c>
      <c r="H92" s="9">
        <v>75.099999999999994</v>
      </c>
      <c r="I92" s="9">
        <v>73.3</v>
      </c>
      <c r="J92" s="9">
        <v>69.2</v>
      </c>
      <c r="K92" s="9">
        <v>56.4</v>
      </c>
      <c r="L92" s="9">
        <v>45.7</v>
      </c>
      <c r="M92" s="9">
        <v>38.799999999999997</v>
      </c>
    </row>
    <row r="93" spans="1:13" ht="15" customHeight="1" x14ac:dyDescent="0.2">
      <c r="A93" s="1">
        <v>1999</v>
      </c>
      <c r="B93" s="9">
        <v>39</v>
      </c>
      <c r="C93" s="9">
        <v>41.4</v>
      </c>
      <c r="D93" s="9">
        <v>47.8</v>
      </c>
      <c r="E93" s="9">
        <v>50.8</v>
      </c>
      <c r="F93" s="9">
        <v>61.2</v>
      </c>
      <c r="G93" s="9">
        <v>68.900000000000006</v>
      </c>
      <c r="H93" s="9">
        <v>74.099999999999994</v>
      </c>
      <c r="I93" s="9">
        <v>73.8</v>
      </c>
      <c r="J93" s="9">
        <v>67.900000000000006</v>
      </c>
      <c r="K93" s="9">
        <v>55.4</v>
      </c>
      <c r="L93" s="9">
        <v>46.3</v>
      </c>
      <c r="M93" s="9">
        <v>35</v>
      </c>
    </row>
    <row r="94" spans="1:13" ht="15" customHeight="1" x14ac:dyDescent="0.2">
      <c r="A94" s="1">
        <v>2000</v>
      </c>
      <c r="B94" s="9">
        <v>39.5</v>
      </c>
      <c r="C94" s="9">
        <v>42.7</v>
      </c>
      <c r="D94" s="9">
        <v>47</v>
      </c>
      <c r="E94" s="9">
        <v>56.6</v>
      </c>
      <c r="F94" s="9">
        <v>65.5</v>
      </c>
      <c r="G94" s="9">
        <v>72.5</v>
      </c>
      <c r="H94" s="9">
        <v>75.400000000000006</v>
      </c>
      <c r="I94" s="9">
        <v>72.599999999999994</v>
      </c>
      <c r="J94" s="9">
        <v>68.7</v>
      </c>
      <c r="K94" s="9">
        <v>56</v>
      </c>
      <c r="L94" s="9">
        <v>39.9</v>
      </c>
      <c r="M94" s="9">
        <v>37.799999999999997</v>
      </c>
    </row>
    <row r="95" spans="1:13" ht="15" customHeight="1" x14ac:dyDescent="0.2">
      <c r="A95" s="1">
        <v>2001</v>
      </c>
      <c r="B95" s="9">
        <v>36.200000000000003</v>
      </c>
      <c r="C95" s="9">
        <v>39.799999999999997</v>
      </c>
      <c r="D95" s="9">
        <v>46.6</v>
      </c>
      <c r="E95" s="9">
        <v>53.3</v>
      </c>
      <c r="F95" s="9">
        <v>63.3</v>
      </c>
      <c r="G95" s="9">
        <v>71</v>
      </c>
      <c r="H95" s="9">
        <v>74.599999999999994</v>
      </c>
      <c r="I95" s="9">
        <v>72.400000000000006</v>
      </c>
      <c r="J95" s="9">
        <v>66.599999999999994</v>
      </c>
      <c r="K95" s="9">
        <v>58.4</v>
      </c>
      <c r="L95" s="9">
        <v>48.3</v>
      </c>
      <c r="M95" s="9">
        <v>35.6</v>
      </c>
    </row>
    <row r="96" spans="1:13" ht="15" customHeight="1" x14ac:dyDescent="0.2">
      <c r="A96" s="1">
        <v>2002</v>
      </c>
      <c r="B96" s="9">
        <v>36.6</v>
      </c>
      <c r="C96" s="9">
        <v>39.9</v>
      </c>
      <c r="D96" s="9">
        <v>44.2</v>
      </c>
      <c r="E96" s="9">
        <v>58.4</v>
      </c>
      <c r="F96" s="9">
        <v>61.1</v>
      </c>
      <c r="G96" s="9">
        <v>73.099999999999994</v>
      </c>
      <c r="H96" s="9">
        <v>74.900000000000006</v>
      </c>
      <c r="I96" s="9">
        <v>72.599999999999994</v>
      </c>
      <c r="J96" s="9">
        <v>67.599999999999994</v>
      </c>
      <c r="K96" s="9">
        <v>55.4</v>
      </c>
      <c r="L96" s="9">
        <v>44.7</v>
      </c>
      <c r="M96" s="9">
        <v>36.9</v>
      </c>
    </row>
    <row r="97" spans="1:13" ht="15" customHeight="1" x14ac:dyDescent="0.2">
      <c r="A97" s="1">
        <v>2003</v>
      </c>
      <c r="B97" s="9">
        <v>42</v>
      </c>
      <c r="C97" s="9">
        <v>42</v>
      </c>
      <c r="D97" s="9">
        <v>45.2</v>
      </c>
      <c r="E97" s="9">
        <v>51.4</v>
      </c>
      <c r="F97" s="9">
        <v>62.6</v>
      </c>
      <c r="G97" s="9">
        <v>70.2</v>
      </c>
      <c r="H97" s="9">
        <v>77.5</v>
      </c>
      <c r="I97" s="9">
        <v>75</v>
      </c>
      <c r="J97" s="9">
        <v>69.8</v>
      </c>
      <c r="K97" s="9">
        <v>60.5</v>
      </c>
      <c r="L97" s="9">
        <v>45.8</v>
      </c>
      <c r="M97" s="9">
        <v>36.799999999999997</v>
      </c>
    </row>
    <row r="98" spans="1:13" ht="15" customHeight="1" x14ac:dyDescent="0.2">
      <c r="A98" s="1">
        <v>2004</v>
      </c>
      <c r="B98" s="9">
        <v>39.700000000000003</v>
      </c>
      <c r="C98" s="9">
        <v>37.700000000000003</v>
      </c>
      <c r="D98" s="9">
        <v>51.5</v>
      </c>
      <c r="E98" s="9">
        <v>52</v>
      </c>
      <c r="F98" s="9">
        <v>61.8</v>
      </c>
      <c r="G98" s="9">
        <v>68.2</v>
      </c>
      <c r="H98" s="9">
        <v>72.3</v>
      </c>
      <c r="I98" s="9">
        <v>70.3</v>
      </c>
      <c r="J98" s="9">
        <v>63.5</v>
      </c>
      <c r="K98" s="9">
        <v>54.2</v>
      </c>
      <c r="L98" s="9">
        <v>43.4</v>
      </c>
      <c r="M98" s="9">
        <v>36.4</v>
      </c>
    </row>
    <row r="99" spans="1:13" ht="15" customHeight="1" x14ac:dyDescent="0.2">
      <c r="A99" s="1">
        <v>2005</v>
      </c>
      <c r="B99" s="9">
        <v>40.799999999999997</v>
      </c>
      <c r="C99" s="9">
        <v>42.7</v>
      </c>
      <c r="D99" s="9">
        <v>45.3</v>
      </c>
      <c r="E99" s="9">
        <v>52</v>
      </c>
      <c r="F99" s="9">
        <v>61.9</v>
      </c>
      <c r="G99" s="9">
        <v>68.8</v>
      </c>
      <c r="H99" s="9">
        <v>74.5</v>
      </c>
      <c r="I99" s="9">
        <v>72.599999999999994</v>
      </c>
      <c r="J99" s="9">
        <v>68.599999999999994</v>
      </c>
      <c r="K99" s="9">
        <v>57.2</v>
      </c>
      <c r="L99" s="9">
        <v>45.9</v>
      </c>
      <c r="M99" s="9">
        <v>37.630000000000003</v>
      </c>
    </row>
    <row r="100" spans="1:13" ht="15" customHeight="1" x14ac:dyDescent="0.2">
      <c r="A100" s="1">
        <v>2006</v>
      </c>
      <c r="B100" s="9">
        <v>38.299999999999997</v>
      </c>
      <c r="C100" s="9">
        <v>41.7</v>
      </c>
      <c r="D100" s="9">
        <v>46</v>
      </c>
      <c r="E100" s="9">
        <v>55.2</v>
      </c>
      <c r="F100" s="9">
        <v>64.2</v>
      </c>
      <c r="G100" s="9">
        <v>72.7</v>
      </c>
      <c r="H100" s="9">
        <v>74.2</v>
      </c>
      <c r="I100" s="9">
        <v>70.2</v>
      </c>
      <c r="J100" s="9">
        <v>62.6</v>
      </c>
      <c r="K100" s="9">
        <v>55</v>
      </c>
      <c r="L100" s="9">
        <v>49.4</v>
      </c>
      <c r="M100" s="9">
        <v>36.799999999999997</v>
      </c>
    </row>
    <row r="101" spans="1:13" ht="15" customHeight="1" x14ac:dyDescent="0.2">
      <c r="A101" s="1">
        <v>2007</v>
      </c>
      <c r="B101" s="9">
        <v>35.9</v>
      </c>
      <c r="C101" s="9">
        <v>41.5</v>
      </c>
      <c r="D101" s="9">
        <v>47.8</v>
      </c>
      <c r="E101" s="9">
        <v>53</v>
      </c>
      <c r="F101" s="9">
        <v>62.2</v>
      </c>
      <c r="G101" s="9">
        <v>69.8</v>
      </c>
      <c r="H101" s="9">
        <v>73.7</v>
      </c>
      <c r="I101" s="9">
        <v>74</v>
      </c>
      <c r="J101" s="9">
        <v>67.599999999999994</v>
      </c>
      <c r="K101" s="9">
        <v>56.2</v>
      </c>
      <c r="L101" s="9">
        <v>47.7</v>
      </c>
      <c r="M101" s="9">
        <v>36.799999999999997</v>
      </c>
    </row>
    <row r="102" spans="1:13" ht="15" customHeight="1" x14ac:dyDescent="0.2">
      <c r="A102" s="1">
        <v>2008</v>
      </c>
      <c r="B102" s="9">
        <v>36</v>
      </c>
      <c r="C102" s="9">
        <v>41.2</v>
      </c>
      <c r="D102" s="9">
        <v>44.6</v>
      </c>
      <c r="E102" s="9">
        <v>50.2</v>
      </c>
      <c r="F102" s="9">
        <v>59.5</v>
      </c>
      <c r="G102" s="9">
        <v>69.7</v>
      </c>
      <c r="H102" s="9">
        <v>73.2</v>
      </c>
      <c r="I102" s="9">
        <v>72.400000000000006</v>
      </c>
      <c r="J102" s="9">
        <v>64.900000000000006</v>
      </c>
      <c r="K102" s="9">
        <v>55.6</v>
      </c>
      <c r="L102" s="9">
        <v>44.8</v>
      </c>
      <c r="M102" s="9">
        <v>39</v>
      </c>
    </row>
    <row r="103" spans="1:13" ht="15" customHeight="1" x14ac:dyDescent="0.2">
      <c r="A103" s="1">
        <v>2009</v>
      </c>
      <c r="B103" s="9">
        <v>38.5</v>
      </c>
      <c r="C103" s="9">
        <v>41.2</v>
      </c>
      <c r="D103" s="9">
        <v>47.2</v>
      </c>
      <c r="E103" s="9">
        <v>51.1</v>
      </c>
      <c r="F103" s="9">
        <v>63.1</v>
      </c>
      <c r="G103" s="9">
        <v>68.7</v>
      </c>
      <c r="H103" s="9">
        <v>75.900000000000006</v>
      </c>
      <c r="I103" s="9">
        <v>74.8</v>
      </c>
      <c r="J103" s="9">
        <v>66.099999999999994</v>
      </c>
      <c r="K103" s="9">
        <v>54.7</v>
      </c>
      <c r="L103" s="9">
        <v>45.9</v>
      </c>
      <c r="M103" s="9">
        <v>35.799999999999997</v>
      </c>
    </row>
    <row r="104" spans="1:13" ht="15" customHeight="1" x14ac:dyDescent="0.2">
      <c r="A104" s="1">
        <v>2010</v>
      </c>
      <c r="B104" s="9">
        <v>36.1</v>
      </c>
      <c r="C104" s="9">
        <v>39.799999999999997</v>
      </c>
      <c r="D104" s="9">
        <v>44.5</v>
      </c>
      <c r="E104" s="9">
        <v>52.9</v>
      </c>
      <c r="F104" s="9">
        <v>57.8</v>
      </c>
      <c r="G104" s="9">
        <v>69.5</v>
      </c>
      <c r="H104" s="9">
        <v>74.099999999999994</v>
      </c>
      <c r="I104" s="9">
        <v>72.099999999999994</v>
      </c>
      <c r="J104" s="9">
        <v>68.8</v>
      </c>
      <c r="K104" s="9">
        <v>56.6</v>
      </c>
      <c r="L104" s="9">
        <v>40.4</v>
      </c>
      <c r="M104" s="9">
        <v>39.5</v>
      </c>
    </row>
    <row r="105" spans="1:13" ht="15" customHeight="1" x14ac:dyDescent="0.2">
      <c r="A105" s="1">
        <v>2011</v>
      </c>
      <c r="B105" s="9">
        <v>34.4</v>
      </c>
      <c r="C105" s="9">
        <v>36.799999999999997</v>
      </c>
      <c r="D105" s="9">
        <v>48</v>
      </c>
      <c r="E105" s="9">
        <v>54.6</v>
      </c>
      <c r="F105" s="9">
        <v>57.8</v>
      </c>
      <c r="G105" s="9">
        <v>69.900000000000006</v>
      </c>
      <c r="H105" s="9">
        <v>76.2</v>
      </c>
      <c r="I105" s="9">
        <v>76.5</v>
      </c>
      <c r="J105" s="9">
        <v>70.3</v>
      </c>
      <c r="K105" s="9">
        <v>56.4</v>
      </c>
      <c r="L105" s="9">
        <v>43.9</v>
      </c>
      <c r="M105" s="9">
        <v>35.5</v>
      </c>
    </row>
    <row r="106" spans="1:13" ht="15" customHeight="1" x14ac:dyDescent="0.2">
      <c r="A106" s="1">
        <v>2012</v>
      </c>
      <c r="B106" s="9">
        <v>38.6</v>
      </c>
      <c r="C106" s="9">
        <v>40.6</v>
      </c>
      <c r="D106" s="9">
        <v>45.4</v>
      </c>
      <c r="E106" s="9">
        <v>55</v>
      </c>
      <c r="F106" s="9">
        <v>63</v>
      </c>
      <c r="G106" s="9">
        <v>71.900000000000006</v>
      </c>
      <c r="H106" s="9">
        <v>75.099999999999994</v>
      </c>
      <c r="I106" s="9">
        <v>74.400000000000006</v>
      </c>
      <c r="J106" s="9">
        <v>66.3</v>
      </c>
      <c r="K106" s="9">
        <v>56.4</v>
      </c>
      <c r="L106" s="9">
        <v>47.3</v>
      </c>
      <c r="M106" s="9">
        <v>42.2</v>
      </c>
    </row>
    <row r="107" spans="1:13" ht="15" customHeight="1" x14ac:dyDescent="0.2">
      <c r="A107" s="1">
        <v>2013</v>
      </c>
      <c r="B107" s="9">
        <v>38.200000000000003</v>
      </c>
      <c r="C107" s="9">
        <v>41.1</v>
      </c>
      <c r="D107" s="9">
        <v>51</v>
      </c>
      <c r="E107" s="9">
        <v>55.9</v>
      </c>
      <c r="F107" s="9">
        <v>61.4</v>
      </c>
      <c r="G107" s="9">
        <v>73.400000000000006</v>
      </c>
      <c r="H107" s="9">
        <v>73.900000000000006</v>
      </c>
      <c r="I107" s="9">
        <v>73.2</v>
      </c>
      <c r="J107" s="9">
        <v>67.400000000000006</v>
      </c>
      <c r="K107" s="9">
        <v>55.7</v>
      </c>
      <c r="L107" s="9">
        <v>48.4</v>
      </c>
      <c r="M107" s="9">
        <v>40.299999999999997</v>
      </c>
    </row>
    <row r="108" spans="1:13" ht="15" customHeight="1" x14ac:dyDescent="0.2">
      <c r="A108" s="1">
        <v>2014</v>
      </c>
      <c r="B108" s="9">
        <v>43.7</v>
      </c>
      <c r="C108" s="9">
        <v>47.4</v>
      </c>
      <c r="D108" s="9">
        <v>50.4</v>
      </c>
      <c r="E108" s="9">
        <v>55.1</v>
      </c>
      <c r="F108" s="9">
        <v>60.6</v>
      </c>
      <c r="G108" s="9">
        <v>71.8</v>
      </c>
      <c r="H108" s="9">
        <v>75</v>
      </c>
      <c r="I108" s="9">
        <v>71.599999999999994</v>
      </c>
      <c r="J108" s="9">
        <v>69.400000000000006</v>
      </c>
      <c r="K108" s="9">
        <v>58</v>
      </c>
      <c r="L108" s="9">
        <v>43.6</v>
      </c>
      <c r="M108" s="9">
        <v>39.799999999999997</v>
      </c>
    </row>
    <row r="109" spans="1:13" ht="15" customHeight="1" x14ac:dyDescent="0.2">
      <c r="A109" s="1">
        <v>2015</v>
      </c>
      <c r="B109" s="9">
        <v>38.200000000000003</v>
      </c>
      <c r="C109" s="9">
        <v>46</v>
      </c>
      <c r="D109" s="9">
        <v>50.3</v>
      </c>
      <c r="E109" s="9">
        <v>53.2</v>
      </c>
      <c r="F109" s="9">
        <v>59.1</v>
      </c>
      <c r="G109" s="9">
        <v>72.7</v>
      </c>
      <c r="H109" s="9">
        <v>74.3</v>
      </c>
      <c r="I109" s="9">
        <v>75.099999999999994</v>
      </c>
      <c r="J109" s="9">
        <v>69.099999999999994</v>
      </c>
      <c r="K109" s="9">
        <v>59.5</v>
      </c>
      <c r="L109" s="9">
        <v>44.4</v>
      </c>
      <c r="M109" s="9">
        <v>36.6</v>
      </c>
    </row>
    <row r="110" spans="1:13" ht="15" customHeight="1" x14ac:dyDescent="0.2">
      <c r="A110" s="1">
        <v>2016</v>
      </c>
      <c r="B110" s="9">
        <v>36.299999999999997</v>
      </c>
      <c r="C110" s="9">
        <v>43.5</v>
      </c>
      <c r="D110" s="9">
        <v>49</v>
      </c>
      <c r="E110" s="9">
        <v>53.2</v>
      </c>
      <c r="F110" s="9">
        <v>60.1</v>
      </c>
      <c r="G110" s="9">
        <v>74</v>
      </c>
      <c r="H110" s="9">
        <v>76.099999999999994</v>
      </c>
      <c r="I110" s="9">
        <v>71.599999999999994</v>
      </c>
      <c r="J110" s="9">
        <v>66.3</v>
      </c>
      <c r="K110" s="9">
        <v>58.9</v>
      </c>
      <c r="L110" s="9">
        <v>47</v>
      </c>
      <c r="M110" s="9">
        <v>41.1</v>
      </c>
    </row>
    <row r="111" spans="1:13" ht="15" customHeight="1" x14ac:dyDescent="0.2">
      <c r="A111" s="1">
        <v>2017</v>
      </c>
      <c r="B111" s="9">
        <v>39.4</v>
      </c>
      <c r="C111" s="9">
        <v>43.8</v>
      </c>
      <c r="D111" s="9">
        <v>51.7</v>
      </c>
      <c r="E111" s="9">
        <v>54.1</v>
      </c>
      <c r="F111" s="9">
        <v>61.1</v>
      </c>
      <c r="G111" s="9">
        <v>72.400000000000006</v>
      </c>
      <c r="H111" s="9">
        <v>74.3</v>
      </c>
      <c r="I111" s="9">
        <v>72.099999999999994</v>
      </c>
      <c r="J111" s="9">
        <v>66.8</v>
      </c>
      <c r="K111" s="9">
        <v>58.5</v>
      </c>
      <c r="L111" s="9">
        <v>51.1</v>
      </c>
      <c r="M111" s="9">
        <v>39.1</v>
      </c>
    </row>
    <row r="112" spans="1:13" ht="15" customHeight="1" x14ac:dyDescent="0.2">
      <c r="A112" s="1">
        <v>2018</v>
      </c>
      <c r="B112" s="9">
        <v>39.1</v>
      </c>
      <c r="C112" s="9">
        <v>43.9</v>
      </c>
      <c r="D112" s="9">
        <v>48.5</v>
      </c>
      <c r="E112" s="9">
        <v>57.7</v>
      </c>
      <c r="F112" s="9">
        <v>63.1</v>
      </c>
      <c r="G112" s="9">
        <v>73.2</v>
      </c>
      <c r="H112" s="9">
        <v>75.599999999999994</v>
      </c>
      <c r="I112" s="9">
        <v>73.8</v>
      </c>
      <c r="J112" s="9">
        <v>69.599999999999994</v>
      </c>
      <c r="K112" s="9">
        <v>56.2</v>
      </c>
      <c r="L112" s="9">
        <v>42.7</v>
      </c>
      <c r="M112" s="9">
        <v>38.9</v>
      </c>
    </row>
    <row r="113" spans="1:13" ht="15" customHeight="1" x14ac:dyDescent="0.2">
      <c r="A113" s="1">
        <v>2019</v>
      </c>
      <c r="B113" s="9">
        <v>38.5</v>
      </c>
      <c r="C113" s="9">
        <v>40.1</v>
      </c>
      <c r="D113" s="9">
        <v>47.6</v>
      </c>
      <c r="E113" s="9">
        <v>54.1</v>
      </c>
      <c r="F113" s="9">
        <v>57</v>
      </c>
      <c r="G113" s="9">
        <v>69.099999999999994</v>
      </c>
      <c r="H113" s="9">
        <v>75.8</v>
      </c>
      <c r="I113" s="9">
        <v>76.400000000000006</v>
      </c>
      <c r="J113" s="9">
        <v>69.099999999999994</v>
      </c>
      <c r="K113" s="9">
        <v>55</v>
      </c>
      <c r="L113" s="9">
        <v>46.8</v>
      </c>
      <c r="M113" s="9">
        <v>38.799999999999997</v>
      </c>
    </row>
    <row r="114" spans="1:13" ht="15" customHeight="1" x14ac:dyDescent="0.2">
      <c r="A114" s="1">
        <v>2020</v>
      </c>
      <c r="B114" s="9">
        <v>39</v>
      </c>
      <c r="C114" s="9">
        <v>41.3</v>
      </c>
      <c r="D114" s="9">
        <v>49.2</v>
      </c>
      <c r="E114" s="9">
        <v>54.3</v>
      </c>
      <c r="F114" s="9">
        <v>64.5</v>
      </c>
      <c r="G114" s="9">
        <v>70.900000000000006</v>
      </c>
      <c r="H114" s="9">
        <v>77.3</v>
      </c>
      <c r="I114" s="9">
        <v>77</v>
      </c>
      <c r="J114" s="9">
        <v>66.400000000000006</v>
      </c>
      <c r="K114" s="9">
        <v>58.4</v>
      </c>
      <c r="L114" s="9">
        <v>48.1</v>
      </c>
      <c r="M114" s="9">
        <v>35.9</v>
      </c>
    </row>
    <row r="115" spans="1:13" ht="15" customHeight="1" x14ac:dyDescent="0.2">
      <c r="A115" s="1">
        <v>2021</v>
      </c>
      <c r="B115" s="9">
        <v>37.1</v>
      </c>
      <c r="C115" s="9">
        <v>40.299999999999997</v>
      </c>
      <c r="D115" s="9">
        <v>44.9</v>
      </c>
      <c r="E115" s="9">
        <v>55.7</v>
      </c>
      <c r="F115" s="9">
        <v>62.3</v>
      </c>
      <c r="G115" s="9">
        <v>74.8</v>
      </c>
      <c r="H115" s="9">
        <v>73.599999999999994</v>
      </c>
      <c r="I115" s="9">
        <v>72.099999999999994</v>
      </c>
      <c r="J115" s="9">
        <v>67.599999999999994</v>
      </c>
      <c r="K115" s="9">
        <v>54.6</v>
      </c>
      <c r="L115" s="9">
        <v>47</v>
      </c>
      <c r="M115" s="9">
        <v>40.9</v>
      </c>
    </row>
    <row r="116" spans="1:13" ht="15" customHeight="1" x14ac:dyDescent="0.2">
      <c r="A116" s="1">
        <v>2022</v>
      </c>
      <c r="B116" s="9">
        <v>37.58064516129032</v>
      </c>
      <c r="C116" s="9">
        <v>38.053571428571431</v>
      </c>
      <c r="D116" s="9">
        <v>45.758064516129039</v>
      </c>
      <c r="E116" s="9">
        <v>55.920114942528741</v>
      </c>
      <c r="F116" s="9">
        <v>62.258064516129039</v>
      </c>
      <c r="G116" s="9">
        <v>72.55</v>
      </c>
      <c r="H116" s="9">
        <v>75.116666666666674</v>
      </c>
      <c r="I116" s="9">
        <v>72.290804597701154</v>
      </c>
      <c r="J116" s="9">
        <v>66.965517241379303</v>
      </c>
      <c r="K116" s="9">
        <v>53.935483870967744</v>
      </c>
      <c r="L116" s="9">
        <v>40.796296296296291</v>
      </c>
      <c r="M116" s="9">
        <v>38.403225806451616</v>
      </c>
    </row>
    <row r="117" spans="1:13" ht="15" customHeight="1" x14ac:dyDescent="0.2">
      <c r="A117" s="1">
        <v>2023</v>
      </c>
      <c r="B117" s="1">
        <v>38.200000000000003</v>
      </c>
      <c r="C117" s="1">
        <v>41.5</v>
      </c>
      <c r="D117" s="1">
        <v>48.4</v>
      </c>
      <c r="E117" s="1">
        <v>56.2</v>
      </c>
      <c r="F117" s="1">
        <v>63.6</v>
      </c>
      <c r="G117" s="1">
        <v>70.8</v>
      </c>
      <c r="H117" s="1">
        <v>81.599999999999994</v>
      </c>
      <c r="I117" s="1">
        <v>77.900000000000006</v>
      </c>
      <c r="J117" s="1">
        <v>72</v>
      </c>
      <c r="K117" s="1">
        <v>61.5</v>
      </c>
      <c r="L117" s="1">
        <v>49.5</v>
      </c>
      <c r="M117" s="1">
        <v>42</v>
      </c>
    </row>
    <row r="118" spans="1:13" ht="15" customHeight="1" x14ac:dyDescent="0.2">
      <c r="A118" s="1">
        <v>2024</v>
      </c>
      <c r="B118" s="1">
        <v>40.5</v>
      </c>
      <c r="C118" s="1">
        <v>46</v>
      </c>
      <c r="D118" s="1">
        <v>49.1</v>
      </c>
      <c r="E118" s="1">
        <v>56</v>
      </c>
      <c r="F118" s="1">
        <v>64.900000000000006</v>
      </c>
      <c r="G118" s="1">
        <v>76.8</v>
      </c>
      <c r="H118" s="1">
        <v>79</v>
      </c>
      <c r="I118" s="1">
        <v>78.5</v>
      </c>
      <c r="J118" s="1">
        <v>69.7</v>
      </c>
      <c r="K118" s="1">
        <v>61.7</v>
      </c>
      <c r="L118" s="1">
        <v>44.7</v>
      </c>
      <c r="M118" s="1">
        <v>43.9</v>
      </c>
    </row>
    <row r="119" spans="1:13" ht="15" customHeight="1" x14ac:dyDescent="0.2">
      <c r="A119" s="2" t="s">
        <v>103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" customHeight="1" x14ac:dyDescent="0.2">
      <c r="A120" s="1">
        <v>1968</v>
      </c>
      <c r="B120" s="1" t="s">
        <v>14</v>
      </c>
    </row>
    <row r="121" spans="1:13" ht="15" customHeight="1" x14ac:dyDescent="0.2">
      <c r="A121" s="1">
        <v>1969</v>
      </c>
      <c r="B121" s="1" t="s">
        <v>14</v>
      </c>
    </row>
    <row r="122" spans="1:13" ht="15" customHeight="1" x14ac:dyDescent="0.2">
      <c r="A122" s="1">
        <v>1970</v>
      </c>
      <c r="B122" s="1" t="s">
        <v>14</v>
      </c>
    </row>
    <row r="123" spans="1:13" ht="15" customHeight="1" x14ac:dyDescent="0.2">
      <c r="A123" s="1">
        <v>1971</v>
      </c>
      <c r="B123" s="1" t="s">
        <v>14</v>
      </c>
    </row>
    <row r="124" spans="1:13" ht="15" customHeight="1" x14ac:dyDescent="0.2">
      <c r="A124" s="1">
        <v>1972</v>
      </c>
      <c r="B124" s="1" t="s">
        <v>14</v>
      </c>
    </row>
    <row r="125" spans="1:13" ht="15" customHeight="1" x14ac:dyDescent="0.2">
      <c r="A125" s="1">
        <v>1973</v>
      </c>
      <c r="B125" s="1" t="s">
        <v>14</v>
      </c>
    </row>
    <row r="126" spans="1:13" ht="15" customHeight="1" x14ac:dyDescent="0.2">
      <c r="A126" s="1">
        <v>1974</v>
      </c>
      <c r="B126" s="1" t="s">
        <v>14</v>
      </c>
    </row>
    <row r="127" spans="1:13" ht="15" customHeight="1" x14ac:dyDescent="0.2">
      <c r="A127" s="1">
        <v>1975</v>
      </c>
      <c r="B127" s="1" t="s">
        <v>14</v>
      </c>
    </row>
    <row r="128" spans="1:13" ht="15" customHeight="1" x14ac:dyDescent="0.2">
      <c r="A128" s="1">
        <v>1976</v>
      </c>
      <c r="B128" s="1" t="s">
        <v>14</v>
      </c>
    </row>
    <row r="129" spans="1:2" ht="15" customHeight="1" x14ac:dyDescent="0.2">
      <c r="A129" s="1">
        <v>1977</v>
      </c>
      <c r="B129" s="1" t="s">
        <v>41</v>
      </c>
    </row>
    <row r="130" spans="1:2" ht="15" customHeight="1" x14ac:dyDescent="0.2">
      <c r="A130" s="1">
        <v>1978</v>
      </c>
      <c r="B130" s="1" t="s">
        <v>14</v>
      </c>
    </row>
    <row r="131" spans="1:2" ht="15" customHeight="1" x14ac:dyDescent="0.2">
      <c r="A131" s="1">
        <v>1979</v>
      </c>
      <c r="B131" s="1" t="s">
        <v>14</v>
      </c>
    </row>
    <row r="132" spans="1:2" ht="15" customHeight="1" x14ac:dyDescent="0.2">
      <c r="A132" s="1">
        <v>1980</v>
      </c>
      <c r="B132" s="1" t="s">
        <v>14</v>
      </c>
    </row>
    <row r="133" spans="1:2" ht="15" customHeight="1" x14ac:dyDescent="0.2">
      <c r="A133" s="1">
        <v>1981</v>
      </c>
      <c r="B133" s="1" t="s">
        <v>14</v>
      </c>
    </row>
    <row r="134" spans="1:2" ht="15" customHeight="1" x14ac:dyDescent="0.2">
      <c r="A134" s="1">
        <v>1982</v>
      </c>
      <c r="B134" s="1" t="s">
        <v>14</v>
      </c>
    </row>
    <row r="135" spans="1:2" ht="15" customHeight="1" x14ac:dyDescent="0.2">
      <c r="A135" s="1">
        <v>1983</v>
      </c>
      <c r="B135" s="1" t="s">
        <v>14</v>
      </c>
    </row>
    <row r="136" spans="1:2" ht="15" customHeight="1" x14ac:dyDescent="0.2">
      <c r="A136" s="1">
        <v>1984</v>
      </c>
      <c r="B136" s="1" t="s">
        <v>14</v>
      </c>
    </row>
    <row r="137" spans="1:2" ht="15" customHeight="1" x14ac:dyDescent="0.2">
      <c r="A137" s="1">
        <v>1985</v>
      </c>
      <c r="B137" s="1" t="s">
        <v>14</v>
      </c>
    </row>
    <row r="138" spans="1:2" ht="15" customHeight="1" x14ac:dyDescent="0.2">
      <c r="A138" s="1">
        <v>1986</v>
      </c>
      <c r="B138" s="1" t="s">
        <v>14</v>
      </c>
    </row>
    <row r="139" spans="1:2" ht="15" customHeight="1" x14ac:dyDescent="0.2">
      <c r="A139" s="1">
        <v>1987</v>
      </c>
      <c r="B139" s="1" t="s">
        <v>14</v>
      </c>
    </row>
    <row r="140" spans="1:2" ht="15" customHeight="1" x14ac:dyDescent="0.2">
      <c r="A140" s="1">
        <v>1988</v>
      </c>
      <c r="B140" s="1" t="s">
        <v>14</v>
      </c>
    </row>
    <row r="141" spans="1:2" ht="15" customHeight="1" x14ac:dyDescent="0.2">
      <c r="A141" s="1">
        <v>1989</v>
      </c>
      <c r="B141" s="1" t="s">
        <v>14</v>
      </c>
    </row>
    <row r="142" spans="1:2" ht="15" customHeight="1" x14ac:dyDescent="0.2">
      <c r="A142" s="1">
        <v>1990</v>
      </c>
      <c r="B142" s="1" t="s">
        <v>14</v>
      </c>
    </row>
    <row r="143" spans="1:2" ht="15" customHeight="1" x14ac:dyDescent="0.2">
      <c r="A143" s="1">
        <v>1991</v>
      </c>
      <c r="B143" s="1" t="s">
        <v>59</v>
      </c>
    </row>
    <row r="144" spans="1:2" ht="15" customHeight="1" x14ac:dyDescent="0.2">
      <c r="A144" s="1">
        <v>1992</v>
      </c>
      <c r="B144" s="1" t="s">
        <v>61</v>
      </c>
    </row>
    <row r="145" spans="1:2" ht="15" customHeight="1" x14ac:dyDescent="0.2">
      <c r="A145" s="1">
        <v>1993</v>
      </c>
      <c r="B145" s="1" t="s">
        <v>63</v>
      </c>
    </row>
    <row r="146" spans="1:2" ht="15" customHeight="1" x14ac:dyDescent="0.2">
      <c r="A146" s="1">
        <v>1994</v>
      </c>
      <c r="B146" s="1" t="s">
        <v>14</v>
      </c>
    </row>
    <row r="147" spans="1:2" ht="15" customHeight="1" x14ac:dyDescent="0.2">
      <c r="A147" s="1">
        <v>1995</v>
      </c>
      <c r="B147" s="1" t="s">
        <v>14</v>
      </c>
    </row>
    <row r="148" spans="1:2" ht="15" customHeight="1" x14ac:dyDescent="0.2">
      <c r="A148" s="1">
        <v>1996</v>
      </c>
      <c r="B148" s="1" t="s">
        <v>14</v>
      </c>
    </row>
    <row r="149" spans="1:2" ht="15" customHeight="1" x14ac:dyDescent="0.2">
      <c r="A149" s="1">
        <v>1997</v>
      </c>
      <c r="B149" s="1" t="s">
        <v>14</v>
      </c>
    </row>
    <row r="150" spans="1:2" ht="15" customHeight="1" x14ac:dyDescent="0.2">
      <c r="A150" s="1">
        <v>1998</v>
      </c>
      <c r="B150" s="1" t="s">
        <v>14</v>
      </c>
    </row>
    <row r="151" spans="1:2" ht="15" customHeight="1" x14ac:dyDescent="0.2">
      <c r="A151" s="1">
        <v>1999</v>
      </c>
      <c r="B151" s="1" t="s">
        <v>82</v>
      </c>
    </row>
    <row r="152" spans="1:2" ht="15" customHeight="1" x14ac:dyDescent="0.2">
      <c r="A152" s="1">
        <v>2000</v>
      </c>
      <c r="B152" s="1" t="s">
        <v>181</v>
      </c>
    </row>
    <row r="153" spans="1:2" ht="15" customHeight="1" x14ac:dyDescent="0.2">
      <c r="A153" s="1">
        <v>2001</v>
      </c>
      <c r="B153" s="1" t="s">
        <v>14</v>
      </c>
    </row>
    <row r="154" spans="1:2" ht="15" customHeight="1" x14ac:dyDescent="0.2">
      <c r="A154" s="1">
        <v>2002</v>
      </c>
      <c r="B154" s="1" t="s">
        <v>14</v>
      </c>
    </row>
    <row r="155" spans="1:2" ht="15" customHeight="1" x14ac:dyDescent="0.2">
      <c r="A155" s="1">
        <v>2003</v>
      </c>
      <c r="B155" s="1" t="s">
        <v>14</v>
      </c>
    </row>
    <row r="156" spans="1:2" ht="15" customHeight="1" x14ac:dyDescent="0.2">
      <c r="A156" s="1">
        <v>2004</v>
      </c>
      <c r="B156" s="1" t="s">
        <v>14</v>
      </c>
    </row>
    <row r="157" spans="1:2" ht="15" customHeight="1" x14ac:dyDescent="0.2">
      <c r="A157" s="1">
        <v>2005</v>
      </c>
      <c r="B157" s="1" t="s">
        <v>14</v>
      </c>
    </row>
    <row r="158" spans="1:2" ht="15" customHeight="1" x14ac:dyDescent="0.2">
      <c r="A158" s="1">
        <v>2006</v>
      </c>
      <c r="B158" s="1" t="s">
        <v>192</v>
      </c>
    </row>
    <row r="159" spans="1:2" ht="15" customHeight="1" x14ac:dyDescent="0.2">
      <c r="A159" s="1">
        <v>2007</v>
      </c>
      <c r="B159" s="1" t="s">
        <v>119</v>
      </c>
    </row>
    <row r="160" spans="1:2" ht="15" customHeight="1" x14ac:dyDescent="0.2">
      <c r="A160" s="1">
        <v>2008</v>
      </c>
      <c r="B160" s="1" t="s">
        <v>135</v>
      </c>
    </row>
    <row r="161" spans="1:2" ht="15" customHeight="1" x14ac:dyDescent="0.2">
      <c r="A161" s="1">
        <v>2009</v>
      </c>
      <c r="B161" s="1" t="s">
        <v>135</v>
      </c>
    </row>
    <row r="162" spans="1:2" ht="15" customHeight="1" x14ac:dyDescent="0.2">
      <c r="A162" s="1">
        <v>2010</v>
      </c>
      <c r="B162" s="1" t="s">
        <v>135</v>
      </c>
    </row>
    <row r="163" spans="1:2" ht="15" customHeight="1" x14ac:dyDescent="0.2">
      <c r="A163" s="1">
        <v>2011</v>
      </c>
      <c r="B163" s="1" t="s">
        <v>191</v>
      </c>
    </row>
    <row r="164" spans="1:2" ht="15" customHeight="1" x14ac:dyDescent="0.2">
      <c r="A164" s="1">
        <v>2012</v>
      </c>
      <c r="B164" s="1" t="s">
        <v>195</v>
      </c>
    </row>
    <row r="165" spans="1:2" ht="15" customHeight="1" x14ac:dyDescent="0.2">
      <c r="A165" s="1">
        <v>2013</v>
      </c>
      <c r="B165" s="1" t="s">
        <v>13</v>
      </c>
    </row>
    <row r="166" spans="1:2" ht="15" customHeight="1" x14ac:dyDescent="0.2">
      <c r="A166" s="1">
        <v>2014</v>
      </c>
      <c r="B166" s="1" t="s">
        <v>198</v>
      </c>
    </row>
    <row r="167" spans="1:2" ht="15" customHeight="1" x14ac:dyDescent="0.2">
      <c r="A167" s="1">
        <v>2015</v>
      </c>
      <c r="B167" s="1" t="s">
        <v>135</v>
      </c>
    </row>
    <row r="168" spans="1:2" ht="15" customHeight="1" x14ac:dyDescent="0.2">
      <c r="A168" s="1">
        <v>2016</v>
      </c>
      <c r="B168" s="1" t="s">
        <v>135</v>
      </c>
    </row>
    <row r="169" spans="1:2" ht="15" customHeight="1" x14ac:dyDescent="0.2">
      <c r="A169" s="1">
        <v>2017</v>
      </c>
      <c r="B169" s="1" t="s">
        <v>135</v>
      </c>
    </row>
    <row r="170" spans="1:2" ht="15" customHeight="1" x14ac:dyDescent="0.2">
      <c r="A170" s="1">
        <v>2018</v>
      </c>
      <c r="B170" s="1" t="s">
        <v>135</v>
      </c>
    </row>
    <row r="171" spans="1:2" ht="15" customHeight="1" x14ac:dyDescent="0.2">
      <c r="A171" s="1">
        <v>2019</v>
      </c>
      <c r="B171" s="1" t="s">
        <v>135</v>
      </c>
    </row>
    <row r="172" spans="1:2" ht="15" customHeight="1" x14ac:dyDescent="0.2">
      <c r="A172" s="1">
        <v>2020</v>
      </c>
      <c r="B172" s="1" t="s">
        <v>135</v>
      </c>
    </row>
    <row r="173" spans="1:2" ht="15" customHeight="1" x14ac:dyDescent="0.2">
      <c r="A173" s="1">
        <v>2021</v>
      </c>
      <c r="B173" s="1" t="s">
        <v>135</v>
      </c>
    </row>
    <row r="174" spans="1:2" ht="15" customHeight="1" x14ac:dyDescent="0.2">
      <c r="A174" s="1">
        <v>2022</v>
      </c>
      <c r="B174" s="1" t="s">
        <v>135</v>
      </c>
    </row>
    <row r="175" spans="1:2" ht="15" customHeight="1" x14ac:dyDescent="0.2">
      <c r="A175" s="1">
        <v>2023</v>
      </c>
      <c r="B175" s="1" t="s">
        <v>230</v>
      </c>
    </row>
    <row r="176" spans="1:2" ht="15" customHeight="1" x14ac:dyDescent="0.2">
      <c r="A176" s="1">
        <v>2024</v>
      </c>
      <c r="B176" s="1" t="s">
        <v>230</v>
      </c>
    </row>
    <row r="177" spans="1:12" ht="15" customHeight="1" x14ac:dyDescent="0.2">
      <c r="A177" s="2" t="s">
        <v>7</v>
      </c>
      <c r="C177" s="2"/>
      <c r="D177" s="2"/>
      <c r="E177" s="2"/>
      <c r="F177" s="2" t="s">
        <v>136</v>
      </c>
      <c r="G177" s="2"/>
      <c r="H177" s="2"/>
      <c r="I177" s="2"/>
      <c r="J177" s="2"/>
      <c r="K177" s="2"/>
      <c r="L177" s="2"/>
    </row>
    <row r="178" spans="1:12" ht="15" customHeight="1" x14ac:dyDescent="0.2">
      <c r="A178" s="2"/>
      <c r="B178" s="1" t="s">
        <v>137</v>
      </c>
      <c r="C178" s="2"/>
      <c r="D178" s="2"/>
      <c r="E178" s="1" t="s">
        <v>137</v>
      </c>
      <c r="F178" s="2"/>
      <c r="G178" s="2"/>
      <c r="H178" s="1" t="s">
        <v>140</v>
      </c>
      <c r="I178" s="2"/>
      <c r="J178" s="2"/>
      <c r="K178" s="1" t="s">
        <v>140</v>
      </c>
      <c r="L178" s="2"/>
    </row>
    <row r="179" spans="1:12" ht="15" customHeight="1" x14ac:dyDescent="0.2">
      <c r="B179" s="8" t="s">
        <v>139</v>
      </c>
      <c r="C179" s="8"/>
      <c r="E179" s="8" t="s">
        <v>138</v>
      </c>
      <c r="F179" s="8"/>
      <c r="H179" s="8" t="s">
        <v>138</v>
      </c>
      <c r="I179" s="8"/>
      <c r="K179" s="8" t="s">
        <v>139</v>
      </c>
      <c r="L179" s="8"/>
    </row>
    <row r="180" spans="1:12" ht="15" customHeight="1" x14ac:dyDescent="0.2">
      <c r="A180" s="1">
        <v>1968</v>
      </c>
      <c r="B180" s="1">
        <v>4</v>
      </c>
      <c r="C180" s="1">
        <v>25</v>
      </c>
      <c r="E180" s="1">
        <v>5</v>
      </c>
      <c r="F180" s="1">
        <v>18</v>
      </c>
      <c r="H180" s="1">
        <v>10</v>
      </c>
      <c r="I180" s="1">
        <v>16</v>
      </c>
      <c r="K180" s="1">
        <v>10</v>
      </c>
      <c r="L180" s="1">
        <v>17</v>
      </c>
    </row>
    <row r="181" spans="1:12" ht="15" customHeight="1" x14ac:dyDescent="0.2">
      <c r="A181" s="1">
        <v>1969</v>
      </c>
      <c r="B181" s="1">
        <v>4</v>
      </c>
      <c r="C181" s="1">
        <v>28</v>
      </c>
      <c r="E181" s="1">
        <v>5</v>
      </c>
      <c r="F181" s="1">
        <v>1</v>
      </c>
      <c r="H181" s="1">
        <v>10</v>
      </c>
      <c r="I181" s="1">
        <v>13</v>
      </c>
      <c r="K181" s="1">
        <v>10</v>
      </c>
      <c r="L181" s="1">
        <v>13</v>
      </c>
    </row>
    <row r="182" spans="1:12" ht="15" customHeight="1" x14ac:dyDescent="0.2">
      <c r="A182" s="1">
        <v>1970</v>
      </c>
      <c r="B182" s="1">
        <v>5</v>
      </c>
      <c r="C182" s="1">
        <v>1</v>
      </c>
      <c r="E182" s="1">
        <v>5</v>
      </c>
      <c r="F182" s="1">
        <v>8</v>
      </c>
      <c r="H182" s="1">
        <v>9</v>
      </c>
      <c r="I182" s="1">
        <v>23</v>
      </c>
      <c r="K182" s="1">
        <v>10</v>
      </c>
      <c r="L182" s="1">
        <v>27</v>
      </c>
    </row>
    <row r="183" spans="1:12" ht="15" customHeight="1" x14ac:dyDescent="0.2">
      <c r="A183" s="1">
        <v>1971</v>
      </c>
      <c r="B183" s="1">
        <v>4</v>
      </c>
      <c r="C183" s="1">
        <v>21</v>
      </c>
      <c r="E183" s="1">
        <v>5</v>
      </c>
      <c r="F183" s="1">
        <v>23</v>
      </c>
      <c r="H183" s="1">
        <v>10</v>
      </c>
      <c r="I183" s="1">
        <v>17</v>
      </c>
      <c r="K183" s="1">
        <v>10</v>
      </c>
      <c r="L183" s="1">
        <v>27</v>
      </c>
    </row>
    <row r="184" spans="1:12" ht="15" customHeight="1" x14ac:dyDescent="0.2">
      <c r="A184" s="1">
        <v>1972</v>
      </c>
      <c r="B184" s="1">
        <v>4</v>
      </c>
      <c r="C184" s="1">
        <v>28</v>
      </c>
      <c r="E184" s="1">
        <v>5</v>
      </c>
      <c r="F184" s="1">
        <v>12</v>
      </c>
      <c r="H184" s="1">
        <v>10</v>
      </c>
      <c r="I184" s="1">
        <v>29</v>
      </c>
      <c r="K184" s="1">
        <v>11</v>
      </c>
      <c r="L184" s="1">
        <v>1</v>
      </c>
    </row>
    <row r="185" spans="1:12" ht="15" customHeight="1" x14ac:dyDescent="0.2">
      <c r="A185" s="1">
        <v>1973</v>
      </c>
      <c r="B185" s="1">
        <v>5</v>
      </c>
      <c r="C185" s="1">
        <v>2</v>
      </c>
      <c r="E185" s="1">
        <v>5</v>
      </c>
      <c r="F185" s="1">
        <v>2</v>
      </c>
      <c r="H185" s="1">
        <v>9</v>
      </c>
      <c r="I185" s="1">
        <v>28</v>
      </c>
      <c r="K185" s="1">
        <v>10</v>
      </c>
      <c r="L185" s="1">
        <v>11</v>
      </c>
    </row>
    <row r="186" spans="1:12" ht="15" customHeight="1" x14ac:dyDescent="0.2">
      <c r="A186" s="1">
        <v>1974</v>
      </c>
      <c r="B186" s="1">
        <v>5</v>
      </c>
      <c r="C186" s="1">
        <v>21</v>
      </c>
      <c r="E186" s="1">
        <v>5</v>
      </c>
      <c r="F186" s="1">
        <v>21</v>
      </c>
      <c r="H186" s="1">
        <v>11</v>
      </c>
      <c r="I186" s="1">
        <v>1</v>
      </c>
      <c r="K186" s="1">
        <v>11</v>
      </c>
      <c r="L186" s="1">
        <v>1</v>
      </c>
    </row>
    <row r="187" spans="1:12" ht="15" customHeight="1" x14ac:dyDescent="0.2">
      <c r="A187" s="1">
        <v>1975</v>
      </c>
      <c r="B187" s="1">
        <v>5</v>
      </c>
      <c r="C187" s="1">
        <v>9</v>
      </c>
      <c r="E187" s="1">
        <v>5</v>
      </c>
      <c r="F187" s="1">
        <v>23</v>
      </c>
      <c r="H187" s="1">
        <v>10</v>
      </c>
      <c r="I187" s="1">
        <v>14</v>
      </c>
      <c r="K187" s="1">
        <v>10</v>
      </c>
      <c r="L187" s="1">
        <v>14</v>
      </c>
    </row>
    <row r="188" spans="1:12" ht="15" customHeight="1" x14ac:dyDescent="0.2">
      <c r="A188" s="1">
        <v>1976</v>
      </c>
      <c r="B188" s="1">
        <v>4</v>
      </c>
      <c r="C188" s="1">
        <v>20</v>
      </c>
      <c r="E188" s="1">
        <v>5</v>
      </c>
      <c r="F188" s="1">
        <v>2</v>
      </c>
      <c r="H188" s="1">
        <v>10</v>
      </c>
      <c r="I188" s="1">
        <v>9</v>
      </c>
      <c r="K188" s="1">
        <v>10</v>
      </c>
      <c r="L188" s="1">
        <v>9</v>
      </c>
    </row>
    <row r="189" spans="1:12" ht="15" customHeight="1" x14ac:dyDescent="0.2">
      <c r="A189" s="1">
        <v>1977</v>
      </c>
      <c r="B189" s="1">
        <v>4</v>
      </c>
      <c r="C189" s="1">
        <v>22</v>
      </c>
      <c r="E189" s="1">
        <v>5</v>
      </c>
      <c r="F189" s="1">
        <v>19</v>
      </c>
      <c r="H189" s="1">
        <v>10</v>
      </c>
      <c r="I189" s="1">
        <v>24</v>
      </c>
      <c r="K189" s="1">
        <v>11</v>
      </c>
      <c r="L189" s="1">
        <v>2</v>
      </c>
    </row>
    <row r="190" spans="1:12" ht="15" customHeight="1" x14ac:dyDescent="0.2">
      <c r="A190" s="1">
        <v>1978</v>
      </c>
      <c r="B190" s="1">
        <v>4</v>
      </c>
      <c r="C190" s="1">
        <v>23</v>
      </c>
      <c r="E190" s="1">
        <v>5</v>
      </c>
      <c r="F190" s="1">
        <v>8</v>
      </c>
      <c r="H190" s="1">
        <v>10</v>
      </c>
      <c r="I190" s="1">
        <v>29</v>
      </c>
      <c r="K190" s="1">
        <v>11</v>
      </c>
      <c r="L190" s="1">
        <v>16</v>
      </c>
    </row>
    <row r="191" spans="1:12" ht="15" customHeight="1" x14ac:dyDescent="0.2">
      <c r="A191" s="1">
        <v>1979</v>
      </c>
      <c r="B191" s="1">
        <v>5</v>
      </c>
      <c r="C191" s="1">
        <v>11</v>
      </c>
      <c r="E191" s="1">
        <v>5</v>
      </c>
      <c r="F191" s="1">
        <v>11</v>
      </c>
      <c r="H191" s="1">
        <v>10</v>
      </c>
      <c r="I191" s="1">
        <v>22</v>
      </c>
      <c r="K191" s="1">
        <v>10</v>
      </c>
      <c r="L191" s="1">
        <v>22</v>
      </c>
    </row>
    <row r="192" spans="1:12" ht="15" customHeight="1" x14ac:dyDescent="0.2">
      <c r="A192" s="1">
        <v>1980</v>
      </c>
      <c r="B192" s="1">
        <v>4</v>
      </c>
      <c r="C192" s="1">
        <v>15</v>
      </c>
      <c r="E192" s="1">
        <v>5</v>
      </c>
      <c r="F192" s="1">
        <v>25</v>
      </c>
      <c r="H192" s="1">
        <v>10</v>
      </c>
      <c r="I192" s="1">
        <v>16</v>
      </c>
      <c r="K192" s="1">
        <v>10</v>
      </c>
      <c r="L192" s="1">
        <v>16</v>
      </c>
    </row>
    <row r="193" spans="1:12" ht="15" customHeight="1" x14ac:dyDescent="0.2">
      <c r="A193" s="1">
        <v>1981</v>
      </c>
      <c r="B193" s="1">
        <v>4</v>
      </c>
      <c r="C193" s="1">
        <v>5</v>
      </c>
      <c r="E193" s="1">
        <v>4</v>
      </c>
      <c r="F193" s="1">
        <v>10</v>
      </c>
      <c r="H193" s="1">
        <v>10</v>
      </c>
      <c r="I193" s="1">
        <v>17</v>
      </c>
      <c r="K193" s="1">
        <v>10</v>
      </c>
      <c r="L193" s="1">
        <v>17</v>
      </c>
    </row>
    <row r="194" spans="1:12" ht="15" customHeight="1" x14ac:dyDescent="0.2">
      <c r="A194" s="1">
        <v>1982</v>
      </c>
      <c r="B194" s="1">
        <v>4</v>
      </c>
      <c r="C194" s="1">
        <v>24</v>
      </c>
      <c r="E194" s="1">
        <v>4</v>
      </c>
      <c r="F194" s="1">
        <v>26</v>
      </c>
      <c r="H194" s="1">
        <v>9</v>
      </c>
      <c r="I194" s="1">
        <v>29</v>
      </c>
      <c r="K194" s="1">
        <v>10</v>
      </c>
      <c r="L194" s="1">
        <v>2</v>
      </c>
    </row>
    <row r="195" spans="1:12" ht="15" customHeight="1" x14ac:dyDescent="0.2">
      <c r="A195" s="1">
        <v>1983</v>
      </c>
      <c r="B195" s="1">
        <v>4</v>
      </c>
      <c r="C195" s="1">
        <v>16</v>
      </c>
      <c r="E195" s="1">
        <v>5</v>
      </c>
      <c r="F195" s="1">
        <v>21</v>
      </c>
      <c r="H195" s="1">
        <v>11</v>
      </c>
      <c r="I195" s="1">
        <v>9</v>
      </c>
      <c r="K195" s="1">
        <v>11</v>
      </c>
      <c r="L195" s="1">
        <v>10</v>
      </c>
    </row>
    <row r="196" spans="1:12" ht="15" customHeight="1" x14ac:dyDescent="0.2">
      <c r="A196" s="1">
        <v>1984</v>
      </c>
      <c r="B196" s="1">
        <v>4</v>
      </c>
      <c r="C196" s="1">
        <v>22</v>
      </c>
      <c r="E196" s="1">
        <v>4</v>
      </c>
      <c r="F196" s="1">
        <v>30</v>
      </c>
      <c r="H196" s="1">
        <v>10</v>
      </c>
      <c r="I196" s="1">
        <v>19</v>
      </c>
      <c r="K196" s="1">
        <v>11</v>
      </c>
      <c r="L196" s="1">
        <v>1</v>
      </c>
    </row>
    <row r="197" spans="1:12" ht="15" customHeight="1" x14ac:dyDescent="0.2">
      <c r="A197" s="1">
        <v>1985</v>
      </c>
      <c r="B197" s="1">
        <v>5</v>
      </c>
      <c r="C197" s="1">
        <v>14</v>
      </c>
      <c r="E197" s="1">
        <v>5</v>
      </c>
      <c r="F197" s="1">
        <v>15</v>
      </c>
      <c r="H197" s="1">
        <v>11</v>
      </c>
      <c r="I197" s="1">
        <v>2</v>
      </c>
      <c r="K197" s="1">
        <v>11</v>
      </c>
      <c r="L197" s="1">
        <v>7</v>
      </c>
    </row>
    <row r="198" spans="1:12" ht="15" customHeight="1" x14ac:dyDescent="0.2">
      <c r="A198" s="1">
        <v>1986</v>
      </c>
      <c r="B198" s="1">
        <v>4</v>
      </c>
      <c r="C198" s="1">
        <v>20</v>
      </c>
      <c r="E198" s="1">
        <v>5</v>
      </c>
      <c r="F198" s="1">
        <v>11</v>
      </c>
      <c r="H198" s="1">
        <v>10</v>
      </c>
      <c r="I198" s="1">
        <v>14</v>
      </c>
      <c r="K198" s="1">
        <v>11</v>
      </c>
      <c r="L198" s="1">
        <v>8</v>
      </c>
    </row>
    <row r="199" spans="1:12" ht="15" customHeight="1" x14ac:dyDescent="0.2">
      <c r="A199" s="1">
        <v>1987</v>
      </c>
      <c r="B199" s="1">
        <v>4</v>
      </c>
      <c r="C199" s="1">
        <v>15</v>
      </c>
      <c r="E199" s="1">
        <v>4</v>
      </c>
      <c r="F199" s="1">
        <v>23</v>
      </c>
      <c r="H199" s="1">
        <v>11</v>
      </c>
      <c r="I199" s="1">
        <v>7</v>
      </c>
      <c r="K199" s="1">
        <v>11</v>
      </c>
      <c r="L199" s="1">
        <v>10</v>
      </c>
    </row>
    <row r="200" spans="1:12" ht="15" customHeight="1" x14ac:dyDescent="0.2">
      <c r="A200" s="1">
        <v>1988</v>
      </c>
      <c r="B200" s="1">
        <v>5</v>
      </c>
      <c r="C200" s="1">
        <v>8</v>
      </c>
      <c r="E200" s="1">
        <v>5</v>
      </c>
      <c r="F200" s="1">
        <v>31</v>
      </c>
      <c r="H200" s="1">
        <v>11</v>
      </c>
      <c r="I200" s="1">
        <v>3</v>
      </c>
      <c r="K200" s="1">
        <v>11</v>
      </c>
      <c r="L200" s="1">
        <v>11</v>
      </c>
    </row>
    <row r="201" spans="1:12" ht="15" customHeight="1" x14ac:dyDescent="0.2">
      <c r="A201" s="1">
        <v>1989</v>
      </c>
      <c r="B201" s="1">
        <v>4</v>
      </c>
      <c r="C201" s="1">
        <v>28</v>
      </c>
      <c r="E201" s="1">
        <v>5</v>
      </c>
      <c r="F201" s="1">
        <v>13</v>
      </c>
      <c r="H201" s="1">
        <v>10</v>
      </c>
      <c r="I201" s="1">
        <v>27</v>
      </c>
      <c r="K201" s="1">
        <v>10</v>
      </c>
      <c r="L201" s="1">
        <v>27</v>
      </c>
    </row>
    <row r="202" spans="1:12" ht="15" customHeight="1" x14ac:dyDescent="0.2">
      <c r="A202" s="1">
        <v>1990</v>
      </c>
      <c r="B202" s="1">
        <v>4</v>
      </c>
      <c r="C202" s="1">
        <v>4</v>
      </c>
      <c r="E202" s="1">
        <v>4</v>
      </c>
      <c r="F202" s="1">
        <v>21</v>
      </c>
      <c r="H202" s="1">
        <v>10</v>
      </c>
      <c r="I202" s="1">
        <v>10</v>
      </c>
      <c r="K202" s="1">
        <v>10</v>
      </c>
      <c r="L202" s="1">
        <v>21</v>
      </c>
    </row>
    <row r="203" spans="1:12" ht="15" customHeight="1" x14ac:dyDescent="0.2">
      <c r="A203" s="1">
        <v>1991</v>
      </c>
      <c r="B203" s="1">
        <v>5</v>
      </c>
      <c r="C203" s="1">
        <v>6</v>
      </c>
      <c r="E203" s="1">
        <v>5</v>
      </c>
      <c r="F203" s="1">
        <v>6</v>
      </c>
      <c r="H203" s="1">
        <v>10</v>
      </c>
      <c r="I203" s="1">
        <v>26</v>
      </c>
      <c r="K203" s="1">
        <v>10</v>
      </c>
      <c r="L203" s="1">
        <v>29</v>
      </c>
    </row>
    <row r="204" spans="1:12" ht="15" customHeight="1" x14ac:dyDescent="0.2">
      <c r="A204" s="1">
        <v>1992</v>
      </c>
      <c r="B204" s="1">
        <v>4</v>
      </c>
      <c r="C204" s="1">
        <v>21</v>
      </c>
      <c r="E204" s="1">
        <v>4</v>
      </c>
      <c r="F204" s="1">
        <v>22</v>
      </c>
      <c r="H204" s="1">
        <v>10</v>
      </c>
      <c r="I204" s="1">
        <v>3</v>
      </c>
      <c r="K204" s="1">
        <v>10</v>
      </c>
      <c r="L204" s="1">
        <v>8</v>
      </c>
    </row>
    <row r="205" spans="1:12" ht="15" customHeight="1" x14ac:dyDescent="0.2">
      <c r="A205" s="1">
        <v>1993</v>
      </c>
      <c r="B205" s="1">
        <v>4</v>
      </c>
      <c r="C205" s="1">
        <v>20</v>
      </c>
      <c r="E205" s="1">
        <v>5</v>
      </c>
      <c r="F205" s="1">
        <v>2</v>
      </c>
      <c r="H205" s="1">
        <v>10</v>
      </c>
      <c r="I205" s="1">
        <v>20</v>
      </c>
      <c r="K205" s="1">
        <v>10</v>
      </c>
      <c r="L205" s="1">
        <v>22</v>
      </c>
    </row>
    <row r="206" spans="1:12" ht="15" customHeight="1" x14ac:dyDescent="0.2">
      <c r="A206" s="1">
        <v>1994</v>
      </c>
      <c r="B206" s="1">
        <v>4</v>
      </c>
      <c r="C206" s="1">
        <v>28</v>
      </c>
      <c r="E206" s="1">
        <v>4</v>
      </c>
      <c r="F206" s="1">
        <v>30</v>
      </c>
      <c r="H206" s="1">
        <v>10</v>
      </c>
      <c r="I206" s="1">
        <v>10</v>
      </c>
      <c r="K206" s="1">
        <v>10</v>
      </c>
      <c r="L206" s="1">
        <v>11</v>
      </c>
    </row>
    <row r="207" spans="1:12" ht="15" customHeight="1" x14ac:dyDescent="0.2">
      <c r="A207" s="1">
        <v>1995</v>
      </c>
      <c r="B207" s="1">
        <v>5</v>
      </c>
      <c r="C207" s="1">
        <v>8</v>
      </c>
      <c r="E207" s="1">
        <v>5</v>
      </c>
      <c r="F207" s="1">
        <v>9</v>
      </c>
      <c r="H207" s="1">
        <v>10</v>
      </c>
      <c r="I207" s="1">
        <v>6</v>
      </c>
      <c r="K207" s="1">
        <v>10</v>
      </c>
      <c r="L207" s="1">
        <v>26</v>
      </c>
    </row>
    <row r="208" spans="1:12" ht="15" customHeight="1" x14ac:dyDescent="0.2">
      <c r="A208" s="1">
        <v>1996</v>
      </c>
      <c r="B208" s="1">
        <v>4</v>
      </c>
      <c r="C208" s="1">
        <v>15</v>
      </c>
      <c r="E208" s="1">
        <v>4</v>
      </c>
      <c r="F208" s="1">
        <v>30</v>
      </c>
      <c r="H208" s="1">
        <v>10</v>
      </c>
      <c r="I208" s="1">
        <v>22</v>
      </c>
      <c r="K208" s="1">
        <v>10</v>
      </c>
      <c r="L208" s="1">
        <v>22</v>
      </c>
    </row>
    <row r="209" spans="1:12" ht="15" customHeight="1" x14ac:dyDescent="0.2">
      <c r="A209" s="1">
        <v>1997</v>
      </c>
      <c r="B209" s="1">
        <v>4</v>
      </c>
      <c r="C209" s="1">
        <v>25</v>
      </c>
      <c r="E209" s="1">
        <v>5</v>
      </c>
      <c r="F209" s="1">
        <v>3</v>
      </c>
      <c r="H209" s="1">
        <v>10</v>
      </c>
      <c r="I209" s="1">
        <v>13</v>
      </c>
      <c r="K209" s="1">
        <v>10</v>
      </c>
      <c r="L209" s="1">
        <v>13</v>
      </c>
    </row>
    <row r="210" spans="1:12" ht="15" customHeight="1" x14ac:dyDescent="0.2">
      <c r="A210" s="1">
        <v>1998</v>
      </c>
      <c r="B210" s="1">
        <v>5</v>
      </c>
      <c r="C210" s="1">
        <v>16</v>
      </c>
      <c r="E210" s="1">
        <v>5</v>
      </c>
      <c r="F210" s="1">
        <v>16</v>
      </c>
      <c r="H210" s="1">
        <v>10</v>
      </c>
      <c r="I210" s="1">
        <v>6</v>
      </c>
      <c r="K210" s="1">
        <v>10</v>
      </c>
      <c r="L210" s="1">
        <v>6</v>
      </c>
    </row>
    <row r="211" spans="1:12" ht="15" customHeight="1" x14ac:dyDescent="0.2">
      <c r="A211" s="1">
        <v>1999</v>
      </c>
      <c r="B211" s="1">
        <v>5</v>
      </c>
      <c r="C211" s="1">
        <v>2</v>
      </c>
      <c r="E211" s="1">
        <v>6</v>
      </c>
      <c r="F211" s="1">
        <v>5</v>
      </c>
      <c r="H211" s="1">
        <v>10</v>
      </c>
      <c r="I211" s="1">
        <v>11</v>
      </c>
      <c r="K211" s="1">
        <v>10</v>
      </c>
      <c r="L211" s="1">
        <v>18</v>
      </c>
    </row>
    <row r="212" spans="1:12" ht="15" customHeight="1" x14ac:dyDescent="0.2">
      <c r="A212" s="1">
        <v>2000</v>
      </c>
      <c r="B212" s="1">
        <v>4</v>
      </c>
      <c r="C212" s="1">
        <v>3</v>
      </c>
      <c r="E212" s="1">
        <v>4</v>
      </c>
      <c r="F212" s="1">
        <v>23</v>
      </c>
      <c r="H212" s="1">
        <v>10</v>
      </c>
      <c r="I212" s="1">
        <v>29</v>
      </c>
      <c r="K212" s="1">
        <v>11</v>
      </c>
      <c r="L212" s="1">
        <v>1</v>
      </c>
    </row>
    <row r="213" spans="1:12" ht="15" customHeight="1" x14ac:dyDescent="0.2">
      <c r="A213" s="1">
        <v>2001</v>
      </c>
      <c r="B213" s="1">
        <v>5</v>
      </c>
      <c r="C213" s="1">
        <v>5</v>
      </c>
      <c r="E213" s="1">
        <v>5</v>
      </c>
      <c r="F213" s="1">
        <v>6</v>
      </c>
      <c r="H213" s="1">
        <v>10</v>
      </c>
      <c r="I213" s="1">
        <v>11</v>
      </c>
      <c r="K213" s="1">
        <v>10</v>
      </c>
      <c r="L213" s="1">
        <v>11</v>
      </c>
    </row>
    <row r="214" spans="1:12" ht="15" customHeight="1" x14ac:dyDescent="0.2">
      <c r="A214" s="1">
        <v>2002</v>
      </c>
      <c r="B214" s="1">
        <v>4</v>
      </c>
      <c r="C214" s="1">
        <v>22</v>
      </c>
      <c r="E214" s="1">
        <v>5</v>
      </c>
      <c r="F214" s="1">
        <v>7</v>
      </c>
      <c r="H214" s="1">
        <v>10</v>
      </c>
      <c r="I214" s="1">
        <v>4</v>
      </c>
      <c r="K214" s="1">
        <v>10</v>
      </c>
      <c r="L214" s="1">
        <v>4</v>
      </c>
    </row>
    <row r="215" spans="1:12" ht="15" customHeight="1" x14ac:dyDescent="0.2">
      <c r="A215" s="1">
        <v>2003</v>
      </c>
      <c r="B215" s="1">
        <v>5</v>
      </c>
      <c r="C215" s="1">
        <v>11</v>
      </c>
      <c r="E215" s="1">
        <v>5</v>
      </c>
      <c r="F215" s="1">
        <v>12</v>
      </c>
      <c r="H215" s="1">
        <v>10</v>
      </c>
      <c r="I215" s="1">
        <v>23</v>
      </c>
      <c r="K215" s="1">
        <v>10</v>
      </c>
      <c r="L215" s="1">
        <v>26</v>
      </c>
    </row>
    <row r="216" spans="1:12" ht="15" customHeight="1" x14ac:dyDescent="0.2">
      <c r="A216" s="1">
        <v>2004</v>
      </c>
      <c r="B216" s="1">
        <v>5</v>
      </c>
      <c r="C216" s="1">
        <v>1</v>
      </c>
      <c r="E216" s="1">
        <v>5</v>
      </c>
      <c r="F216" s="1">
        <v>14</v>
      </c>
      <c r="H216" s="1">
        <v>10</v>
      </c>
      <c r="I216" s="1">
        <v>19</v>
      </c>
      <c r="K216" s="1">
        <v>10</v>
      </c>
      <c r="L216" s="1">
        <v>23</v>
      </c>
    </row>
    <row r="217" spans="1:12" ht="15" customHeight="1" x14ac:dyDescent="0.2">
      <c r="A217" s="1">
        <v>2005</v>
      </c>
      <c r="B217" s="1">
        <v>5</v>
      </c>
      <c r="C217" s="1">
        <v>13</v>
      </c>
      <c r="E217" s="1">
        <v>5</v>
      </c>
      <c r="F217" s="1">
        <v>13</v>
      </c>
      <c r="H217" s="1">
        <v>10</v>
      </c>
      <c r="I217" s="1">
        <v>11</v>
      </c>
      <c r="K217" s="1">
        <v>10</v>
      </c>
      <c r="L217" s="1">
        <v>30</v>
      </c>
    </row>
    <row r="218" spans="1:12" ht="15" customHeight="1" x14ac:dyDescent="0.2">
      <c r="A218" s="1">
        <v>2006</v>
      </c>
      <c r="B218" s="1">
        <v>4</v>
      </c>
      <c r="C218" s="1">
        <v>9</v>
      </c>
      <c r="E218" s="1">
        <v>4</v>
      </c>
      <c r="F218" s="1">
        <v>26</v>
      </c>
      <c r="H218" s="1">
        <v>10</v>
      </c>
      <c r="I218" s="1">
        <v>16</v>
      </c>
      <c r="K218" s="1">
        <v>10</v>
      </c>
      <c r="L218" s="1">
        <v>19</v>
      </c>
    </row>
    <row r="219" spans="1:12" ht="15" customHeight="1" x14ac:dyDescent="0.2">
      <c r="A219" s="1">
        <v>2007</v>
      </c>
      <c r="B219" s="1">
        <v>4</v>
      </c>
      <c r="C219" s="1">
        <v>24</v>
      </c>
      <c r="E219" s="1">
        <v>4</v>
      </c>
      <c r="F219" s="1">
        <v>25</v>
      </c>
      <c r="H219" s="1">
        <v>10</v>
      </c>
      <c r="I219" s="1">
        <v>8</v>
      </c>
      <c r="K219" s="1">
        <v>10</v>
      </c>
      <c r="L219" s="1">
        <v>18</v>
      </c>
    </row>
    <row r="220" spans="1:12" ht="15" customHeight="1" x14ac:dyDescent="0.2">
      <c r="A220" s="1">
        <v>2008</v>
      </c>
      <c r="B220" s="1">
        <v>5</v>
      </c>
      <c r="C220" s="1">
        <v>3</v>
      </c>
      <c r="E220" s="1">
        <v>5</v>
      </c>
      <c r="F220" s="1">
        <v>14</v>
      </c>
      <c r="H220" s="1">
        <v>10</v>
      </c>
      <c r="I220" s="1">
        <v>13</v>
      </c>
      <c r="K220" s="1">
        <v>10</v>
      </c>
      <c r="L220" s="1">
        <v>13</v>
      </c>
    </row>
    <row r="221" spans="1:12" ht="15" customHeight="1" x14ac:dyDescent="0.2">
      <c r="A221" s="1">
        <v>2009</v>
      </c>
      <c r="B221" s="1">
        <v>5</v>
      </c>
      <c r="C221" s="1">
        <v>1</v>
      </c>
      <c r="E221" s="1">
        <v>5</v>
      </c>
      <c r="F221" s="1">
        <v>1</v>
      </c>
      <c r="H221" s="1">
        <v>10</v>
      </c>
      <c r="I221" s="1">
        <v>2</v>
      </c>
      <c r="K221" s="1">
        <v>10</v>
      </c>
      <c r="L221" s="1">
        <v>9</v>
      </c>
    </row>
    <row r="222" spans="1:12" ht="15" customHeight="1" x14ac:dyDescent="0.2">
      <c r="A222" s="1">
        <v>2010</v>
      </c>
      <c r="B222" s="1">
        <v>5</v>
      </c>
      <c r="C222" s="1">
        <v>13</v>
      </c>
      <c r="E222" s="1">
        <v>5</v>
      </c>
      <c r="F222" s="1">
        <v>25</v>
      </c>
      <c r="H222" s="1">
        <v>10</v>
      </c>
      <c r="I222" s="1">
        <v>9</v>
      </c>
      <c r="K222" s="1">
        <v>10</v>
      </c>
      <c r="L222" s="1">
        <v>24</v>
      </c>
    </row>
    <row r="223" spans="1:12" ht="15" customHeight="1" x14ac:dyDescent="0.2">
      <c r="A223" s="1">
        <v>2011</v>
      </c>
      <c r="B223" s="1">
        <v>5</v>
      </c>
      <c r="C223" s="1">
        <v>11</v>
      </c>
      <c r="E223" s="1">
        <v>5</v>
      </c>
      <c r="F223" s="1">
        <v>20</v>
      </c>
      <c r="H223" s="1">
        <v>10</v>
      </c>
      <c r="I223" s="1">
        <v>8</v>
      </c>
      <c r="K223" s="1">
        <v>10</v>
      </c>
      <c r="L223" s="1">
        <v>8</v>
      </c>
    </row>
    <row r="224" spans="1:12" ht="15" customHeight="1" x14ac:dyDescent="0.2">
      <c r="A224" s="1">
        <v>2012</v>
      </c>
      <c r="B224" s="1">
        <v>4</v>
      </c>
      <c r="C224" s="1">
        <v>17</v>
      </c>
      <c r="E224" s="1">
        <v>5</v>
      </c>
      <c r="F224" s="1">
        <v>28</v>
      </c>
      <c r="H224" s="1">
        <v>10</v>
      </c>
      <c r="I224" s="1">
        <v>4</v>
      </c>
      <c r="K224" s="1">
        <v>10</v>
      </c>
      <c r="L224" s="1">
        <v>4</v>
      </c>
    </row>
    <row r="225" spans="1:12" ht="15" customHeight="1" x14ac:dyDescent="0.2">
      <c r="A225" s="1">
        <v>2013</v>
      </c>
      <c r="B225" s="1">
        <v>4</v>
      </c>
      <c r="C225" s="1">
        <v>20</v>
      </c>
      <c r="E225" s="1">
        <v>4</v>
      </c>
      <c r="F225" s="1">
        <v>20</v>
      </c>
      <c r="H225" s="1">
        <v>10</v>
      </c>
      <c r="I225" s="1">
        <v>16</v>
      </c>
      <c r="K225" s="1">
        <v>11</v>
      </c>
      <c r="L225" s="1">
        <v>5</v>
      </c>
    </row>
    <row r="226" spans="1:12" ht="15" customHeight="1" x14ac:dyDescent="0.2">
      <c r="A226" s="1">
        <v>2014</v>
      </c>
      <c r="B226" s="1">
        <v>4</v>
      </c>
      <c r="C226" s="1">
        <v>15</v>
      </c>
      <c r="E226" s="1">
        <v>4</v>
      </c>
      <c r="F226" s="1">
        <v>28</v>
      </c>
      <c r="H226" s="1">
        <v>10</v>
      </c>
      <c r="I226" s="1">
        <v>14</v>
      </c>
      <c r="K226" s="1">
        <v>11</v>
      </c>
      <c r="L226" s="1">
        <v>5</v>
      </c>
    </row>
    <row r="227" spans="1:12" ht="15" customHeight="1" x14ac:dyDescent="0.2">
      <c r="A227" s="1">
        <v>2015</v>
      </c>
      <c r="B227" s="1">
        <v>5</v>
      </c>
      <c r="C227" s="1">
        <v>10</v>
      </c>
      <c r="E227" s="1">
        <v>5</v>
      </c>
      <c r="F227" s="1">
        <v>10</v>
      </c>
      <c r="H227" s="1">
        <v>10</v>
      </c>
      <c r="I227" s="1">
        <v>31</v>
      </c>
      <c r="K227" s="1">
        <v>11</v>
      </c>
      <c r="L227" s="1">
        <v>1</v>
      </c>
    </row>
    <row r="228" spans="1:12" ht="15" customHeight="1" x14ac:dyDescent="0.2">
      <c r="A228" s="1">
        <v>2016</v>
      </c>
      <c r="B228" s="1">
        <v>4</v>
      </c>
      <c r="C228" s="1">
        <v>27</v>
      </c>
      <c r="E228" s="1">
        <v>5</v>
      </c>
      <c r="F228" s="1">
        <v>9</v>
      </c>
      <c r="H228" s="1">
        <v>10</v>
      </c>
      <c r="I228" s="1">
        <v>14</v>
      </c>
      <c r="K228" s="1">
        <v>11</v>
      </c>
      <c r="L228" s="1">
        <v>11</v>
      </c>
    </row>
    <row r="229" spans="1:12" ht="15" customHeight="1" x14ac:dyDescent="0.2">
      <c r="A229" s="1">
        <v>2017</v>
      </c>
      <c r="B229" s="1">
        <v>4</v>
      </c>
      <c r="C229" s="1">
        <v>30</v>
      </c>
      <c r="E229" s="1">
        <v>5</v>
      </c>
      <c r="F229" s="1">
        <v>20</v>
      </c>
      <c r="H229" s="1">
        <v>10</v>
      </c>
      <c r="I229" s="1">
        <v>7</v>
      </c>
      <c r="K229" s="1">
        <v>10</v>
      </c>
      <c r="L229" s="1">
        <v>8</v>
      </c>
    </row>
    <row r="230" spans="1:12" ht="15" customHeight="1" x14ac:dyDescent="0.2">
      <c r="A230" s="1">
        <v>2018</v>
      </c>
      <c r="B230" s="1">
        <v>5</v>
      </c>
      <c r="C230" s="1">
        <v>3</v>
      </c>
      <c r="E230" s="1">
        <v>5</v>
      </c>
      <c r="F230" s="1">
        <v>4</v>
      </c>
      <c r="H230" s="1">
        <v>10</v>
      </c>
      <c r="I230" s="1">
        <v>10</v>
      </c>
      <c r="K230" s="1">
        <v>10</v>
      </c>
      <c r="L230" s="1">
        <v>10</v>
      </c>
    </row>
    <row r="231" spans="1:12" ht="15" customHeight="1" x14ac:dyDescent="0.2">
      <c r="A231" s="1">
        <v>2019</v>
      </c>
      <c r="B231" s="1">
        <v>5</v>
      </c>
      <c r="C231" s="1">
        <v>21</v>
      </c>
      <c r="E231" s="1">
        <v>5</v>
      </c>
      <c r="F231" s="1">
        <v>24</v>
      </c>
      <c r="H231" s="1">
        <v>10</v>
      </c>
      <c r="I231" s="1">
        <v>11</v>
      </c>
      <c r="K231" s="1">
        <v>10</v>
      </c>
      <c r="L231" s="1">
        <v>21</v>
      </c>
    </row>
    <row r="232" spans="1:12" ht="15" customHeight="1" x14ac:dyDescent="0.2">
      <c r="A232" s="1">
        <v>2020</v>
      </c>
      <c r="B232" s="1">
        <v>4</v>
      </c>
      <c r="C232" s="1">
        <v>16</v>
      </c>
      <c r="E232" s="1">
        <v>5</v>
      </c>
      <c r="F232" s="1">
        <v>22</v>
      </c>
      <c r="H232" s="1">
        <v>10</v>
      </c>
      <c r="I232" s="1">
        <v>20</v>
      </c>
      <c r="K232" s="1">
        <v>10</v>
      </c>
      <c r="L232" s="1">
        <v>29</v>
      </c>
    </row>
    <row r="233" spans="1:12" ht="15" customHeight="1" x14ac:dyDescent="0.2">
      <c r="A233" s="1">
        <v>2021</v>
      </c>
      <c r="B233" s="1">
        <v>4</v>
      </c>
      <c r="C233" s="1">
        <v>7</v>
      </c>
      <c r="E233" s="1">
        <v>5</v>
      </c>
      <c r="F233" s="1">
        <v>24</v>
      </c>
      <c r="H233" s="1">
        <v>10</v>
      </c>
      <c r="I233" s="1">
        <v>11</v>
      </c>
      <c r="K233" s="1">
        <v>10</v>
      </c>
      <c r="L233" s="1">
        <v>13</v>
      </c>
    </row>
    <row r="234" spans="1:12" ht="15" customHeight="1" x14ac:dyDescent="0.2">
      <c r="A234" s="1">
        <v>2022</v>
      </c>
      <c r="B234" s="1">
        <v>5</v>
      </c>
      <c r="C234" s="1">
        <v>13</v>
      </c>
      <c r="E234" s="1">
        <v>5</v>
      </c>
      <c r="F234" s="1">
        <v>14</v>
      </c>
      <c r="H234" s="1">
        <v>10</v>
      </c>
      <c r="I234" s="1">
        <v>20</v>
      </c>
      <c r="K234" s="1">
        <v>10</v>
      </c>
      <c r="L234" s="1">
        <v>25</v>
      </c>
    </row>
    <row r="235" spans="1:12" ht="15" customHeight="1" x14ac:dyDescent="0.2">
      <c r="A235" s="1">
        <v>2023</v>
      </c>
      <c r="B235" s="1">
        <v>4</v>
      </c>
      <c r="C235" s="1">
        <v>6</v>
      </c>
      <c r="E235" s="1">
        <v>4</v>
      </c>
      <c r="F235" s="1">
        <v>20</v>
      </c>
      <c r="H235" s="1">
        <v>10</v>
      </c>
      <c r="I235" s="1">
        <v>30</v>
      </c>
      <c r="K235" s="1">
        <v>10</v>
      </c>
      <c r="L235" s="1">
        <v>30</v>
      </c>
    </row>
    <row r="236" spans="1:12" ht="15" customHeight="1" x14ac:dyDescent="0.2">
      <c r="A236" s="1">
        <v>2024</v>
      </c>
      <c r="B236" s="1">
        <v>4</v>
      </c>
      <c r="C236" s="1">
        <v>7</v>
      </c>
      <c r="E236" s="1">
        <v>4</v>
      </c>
      <c r="F236" s="1">
        <v>7</v>
      </c>
      <c r="H236" s="1">
        <v>10</v>
      </c>
      <c r="I236" s="1">
        <v>20</v>
      </c>
      <c r="K236" s="1">
        <v>10</v>
      </c>
      <c r="L236" s="1">
        <v>21</v>
      </c>
    </row>
  </sheetData>
  <sheetProtection algorithmName="SHA-512" hashValue="zHbOwnT7/majytOmswd71bJh90pzhV6HDfCmOm5gsIJE/eIssrlnFpGboLO4q1QGefOZYlMS89+L0TnNil848A==" saltValue="P14kg969s/gXpcvRx8oA+Q==" spinCount="100000" sheet="1" objects="1" scenarios="1"/>
  <phoneticPr fontId="0" type="noConversion"/>
  <printOptions horizontalCentered="1" gridLines="1"/>
  <pageMargins left="0.75" right="0.75" top="1" bottom="0.75" header="0.5" footer="0.5"/>
  <pageSetup scale="95" fitToHeight="4" orientation="portrait" r:id="rId1"/>
  <headerFooter alignWithMargins="0">
    <oddFooter>&amp;R&amp;9cliff-gila-buckhorn-duck crk</oddFooter>
  </headerFooter>
  <rowBreaks count="3" manualBreakCount="3">
    <brk id="59" max="12" man="1"/>
    <brk id="118" max="12" man="1"/>
    <brk id="176" max="1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36"/>
  <sheetViews>
    <sheetView zoomScaleNormal="100" workbookViewId="0">
      <selection sqref="A1:XFD1"/>
    </sheetView>
  </sheetViews>
  <sheetFormatPr defaultColWidth="8.88671875" defaultRowHeight="15" customHeight="1" x14ac:dyDescent="0.2"/>
  <cols>
    <col min="1" max="13" width="6" style="1" customWidth="1"/>
    <col min="14" max="16384" width="8.88671875" style="1"/>
  </cols>
  <sheetData>
    <row r="1" spans="1:13" ht="15" customHeight="1" x14ac:dyDescent="0.2">
      <c r="A1" s="2" t="s">
        <v>8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customHeight="1" x14ac:dyDescent="0.2">
      <c r="A2" s="2"/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</row>
    <row r="3" spans="1:13" ht="15" customHeight="1" x14ac:dyDescent="0.2">
      <c r="A3" s="1">
        <v>1968</v>
      </c>
      <c r="B3" s="4">
        <v>0.85</v>
      </c>
      <c r="C3" s="4">
        <v>1.68</v>
      </c>
      <c r="D3" s="4">
        <v>2.0299999999999998</v>
      </c>
      <c r="E3" s="4">
        <v>0.04</v>
      </c>
      <c r="F3" s="4">
        <v>0.06</v>
      </c>
      <c r="G3" s="4">
        <v>0.28999999999999998</v>
      </c>
      <c r="H3" s="4">
        <v>3.91</v>
      </c>
      <c r="I3" s="4">
        <v>2.4300000000000002</v>
      </c>
      <c r="J3" s="4">
        <v>0.3</v>
      </c>
      <c r="K3" s="4">
        <v>0.05</v>
      </c>
      <c r="L3" s="4">
        <v>1.55</v>
      </c>
      <c r="M3" s="4">
        <v>0.82</v>
      </c>
    </row>
    <row r="4" spans="1:13" ht="15" customHeight="1" x14ac:dyDescent="0.2">
      <c r="A4" s="1">
        <v>1969</v>
      </c>
      <c r="B4" s="4">
        <v>0.47</v>
      </c>
      <c r="C4" s="4">
        <v>0.54</v>
      </c>
      <c r="D4" s="4">
        <v>0.39</v>
      </c>
      <c r="E4" s="4">
        <v>0.06</v>
      </c>
      <c r="F4" s="4">
        <v>0.5</v>
      </c>
      <c r="G4" s="4">
        <v>0</v>
      </c>
      <c r="H4" s="4">
        <v>3.68</v>
      </c>
      <c r="I4" s="4">
        <v>1.04</v>
      </c>
      <c r="J4" s="4">
        <v>1.1299999999999999</v>
      </c>
      <c r="K4" s="4">
        <v>0.91</v>
      </c>
      <c r="L4" s="4">
        <v>0.37</v>
      </c>
      <c r="M4" s="4">
        <v>0.97</v>
      </c>
    </row>
    <row r="5" spans="1:13" ht="15" customHeight="1" x14ac:dyDescent="0.2">
      <c r="A5" s="1">
        <v>1970</v>
      </c>
      <c r="B5" s="4">
        <v>0</v>
      </c>
      <c r="C5" s="4">
        <v>1.08</v>
      </c>
      <c r="D5" s="4">
        <v>1.2</v>
      </c>
      <c r="E5" s="4">
        <v>0.2</v>
      </c>
      <c r="F5" s="4">
        <v>0.06</v>
      </c>
      <c r="G5" s="4">
        <v>0.71</v>
      </c>
      <c r="H5" s="4">
        <v>2.5099999999999998</v>
      </c>
      <c r="I5" s="4">
        <v>1.1499999999999999</v>
      </c>
      <c r="J5" s="4">
        <v>1.45</v>
      </c>
      <c r="K5" s="4">
        <v>0.46</v>
      </c>
      <c r="L5" s="4">
        <v>0</v>
      </c>
      <c r="M5" s="4">
        <v>0.59</v>
      </c>
    </row>
    <row r="6" spans="1:13" ht="15" customHeight="1" x14ac:dyDescent="0.2">
      <c r="A6" s="1">
        <v>1971</v>
      </c>
      <c r="B6" s="4">
        <v>0.35</v>
      </c>
      <c r="C6" s="4">
        <v>0.47</v>
      </c>
      <c r="D6" s="4">
        <v>0</v>
      </c>
      <c r="E6" s="4">
        <v>0.34</v>
      </c>
      <c r="F6" s="4">
        <v>0</v>
      </c>
      <c r="G6" s="4">
        <v>0.28000000000000003</v>
      </c>
      <c r="H6" s="4">
        <v>1.1100000000000001</v>
      </c>
      <c r="I6" s="4">
        <v>2.25</v>
      </c>
      <c r="J6" s="4">
        <v>3.53</v>
      </c>
      <c r="K6" s="4">
        <v>2.19</v>
      </c>
      <c r="L6" s="4">
        <v>0.39</v>
      </c>
      <c r="M6" s="4">
        <v>0.99</v>
      </c>
    </row>
    <row r="7" spans="1:13" ht="15" customHeight="1" x14ac:dyDescent="0.2">
      <c r="A7" s="1">
        <v>1972</v>
      </c>
      <c r="B7" s="4">
        <v>0.05</v>
      </c>
      <c r="C7" s="4">
        <v>0</v>
      </c>
      <c r="D7" s="4">
        <v>0</v>
      </c>
      <c r="E7" s="4">
        <v>0</v>
      </c>
      <c r="F7" s="4">
        <v>1.54</v>
      </c>
      <c r="G7" s="4">
        <v>0.48</v>
      </c>
      <c r="H7" s="4">
        <v>2.69</v>
      </c>
      <c r="I7" s="4">
        <v>2.17</v>
      </c>
      <c r="J7" s="4">
        <v>3.06</v>
      </c>
      <c r="K7" s="4">
        <v>5.6</v>
      </c>
      <c r="L7" s="4">
        <v>0.46</v>
      </c>
      <c r="M7" s="4">
        <v>0.97</v>
      </c>
    </row>
    <row r="8" spans="1:13" ht="15" customHeight="1" x14ac:dyDescent="0.2">
      <c r="A8" s="1">
        <v>1973</v>
      </c>
      <c r="B8" s="4">
        <v>0.73</v>
      </c>
      <c r="C8" s="4">
        <v>2.2000000000000002</v>
      </c>
      <c r="D8" s="4">
        <v>1.35</v>
      </c>
      <c r="E8" s="4">
        <v>0</v>
      </c>
      <c r="F8" s="4">
        <v>0.75</v>
      </c>
      <c r="G8" s="4">
        <v>0.88</v>
      </c>
      <c r="H8" s="4">
        <v>2.29</v>
      </c>
      <c r="I8" s="4">
        <v>0.76</v>
      </c>
      <c r="J8" s="4">
        <v>0.05</v>
      </c>
      <c r="K8" s="4">
        <v>0</v>
      </c>
      <c r="L8" s="4">
        <v>0.41</v>
      </c>
      <c r="M8" s="4">
        <v>0</v>
      </c>
    </row>
    <row r="9" spans="1:13" ht="15" customHeight="1" x14ac:dyDescent="0.2">
      <c r="A9" s="1">
        <v>1974</v>
      </c>
      <c r="B9" s="4">
        <v>0.9</v>
      </c>
      <c r="C9" s="4">
        <v>0.08</v>
      </c>
      <c r="D9" s="4">
        <v>0.26</v>
      </c>
      <c r="E9" s="4">
        <v>0.04</v>
      </c>
      <c r="F9" s="4">
        <v>0.03</v>
      </c>
      <c r="G9" s="4">
        <v>0.5</v>
      </c>
      <c r="H9" s="4">
        <v>1.34</v>
      </c>
      <c r="I9" s="4">
        <v>5.73</v>
      </c>
      <c r="J9" s="4">
        <v>1.84</v>
      </c>
      <c r="K9" s="4">
        <v>2.0499999999999998</v>
      </c>
      <c r="L9" s="4">
        <v>7.0000000000000007E-2</v>
      </c>
      <c r="M9" s="4">
        <v>0.1</v>
      </c>
    </row>
    <row r="10" spans="1:13" ht="15" customHeight="1" x14ac:dyDescent="0.2">
      <c r="A10" s="1">
        <v>1975</v>
      </c>
      <c r="B10" s="4">
        <v>0.92</v>
      </c>
      <c r="C10" s="4">
        <v>0.14000000000000001</v>
      </c>
      <c r="D10" s="4">
        <v>1.46</v>
      </c>
      <c r="E10" s="4">
        <v>0.15</v>
      </c>
      <c r="F10" s="4">
        <v>0</v>
      </c>
      <c r="G10" s="4">
        <v>0</v>
      </c>
      <c r="H10" s="4">
        <v>2.5499999999999998</v>
      </c>
      <c r="I10" s="4">
        <v>0.28000000000000003</v>
      </c>
      <c r="J10" s="4">
        <v>4.16</v>
      </c>
      <c r="K10" s="4">
        <v>1.21</v>
      </c>
      <c r="L10" s="4">
        <v>0.49</v>
      </c>
      <c r="M10" s="4">
        <v>0.62</v>
      </c>
    </row>
    <row r="11" spans="1:13" ht="15" customHeight="1" x14ac:dyDescent="0.2">
      <c r="A11" s="1">
        <v>1976</v>
      </c>
      <c r="B11" s="4">
        <v>0.8</v>
      </c>
      <c r="C11" s="4">
        <v>1.08</v>
      </c>
      <c r="D11" s="4">
        <v>0.28000000000000003</v>
      </c>
      <c r="E11" s="4">
        <v>0.21</v>
      </c>
      <c r="F11" s="4">
        <v>0.15</v>
      </c>
      <c r="G11" s="4">
        <v>0.19</v>
      </c>
      <c r="H11" s="4">
        <v>2.5099999999999998</v>
      </c>
      <c r="I11" s="4">
        <v>0.49</v>
      </c>
      <c r="J11" s="4">
        <v>2.17</v>
      </c>
      <c r="K11" s="4">
        <v>1.6</v>
      </c>
      <c r="L11" s="4">
        <v>0.19</v>
      </c>
      <c r="M11" s="4">
        <v>0.14000000000000001</v>
      </c>
    </row>
    <row r="12" spans="1:13" ht="15" customHeight="1" x14ac:dyDescent="0.2">
      <c r="A12" s="1">
        <v>1977</v>
      </c>
      <c r="B12" s="4">
        <v>1.76</v>
      </c>
      <c r="C12" s="4">
        <v>0.1</v>
      </c>
      <c r="D12" s="4">
        <v>0.75</v>
      </c>
      <c r="E12" s="4">
        <v>0.13</v>
      </c>
      <c r="F12" s="4">
        <v>0</v>
      </c>
      <c r="G12" s="4">
        <v>1.01</v>
      </c>
      <c r="H12" s="4">
        <v>4.07</v>
      </c>
      <c r="I12" s="4">
        <v>5.88</v>
      </c>
      <c r="J12" s="4">
        <v>0.95</v>
      </c>
      <c r="K12" s="4">
        <v>0.62</v>
      </c>
      <c r="L12" s="4">
        <v>0.28000000000000003</v>
      </c>
      <c r="M12" s="4">
        <v>0.94</v>
      </c>
    </row>
    <row r="13" spans="1:13" ht="15" customHeight="1" x14ac:dyDescent="0.2">
      <c r="A13" s="1">
        <v>1978</v>
      </c>
      <c r="B13" s="4">
        <v>2.81</v>
      </c>
      <c r="C13" s="4">
        <v>1.06</v>
      </c>
      <c r="D13" s="4">
        <v>1.1599999999999999</v>
      </c>
      <c r="E13" s="4">
        <v>0</v>
      </c>
      <c r="F13" s="4">
        <v>0.22</v>
      </c>
      <c r="G13" s="4">
        <v>0.27</v>
      </c>
      <c r="H13" s="4">
        <v>2.09</v>
      </c>
      <c r="I13" s="4">
        <v>1.6</v>
      </c>
      <c r="J13" s="4">
        <v>0.92</v>
      </c>
      <c r="K13" s="4">
        <v>2.14</v>
      </c>
      <c r="L13" s="4">
        <v>1.49</v>
      </c>
      <c r="M13" s="4">
        <v>2.78</v>
      </c>
    </row>
    <row r="14" spans="1:13" ht="15" customHeight="1" x14ac:dyDescent="0.2">
      <c r="A14" s="1">
        <v>1979</v>
      </c>
      <c r="B14" s="4">
        <v>1.7</v>
      </c>
      <c r="C14" s="4">
        <v>0.81</v>
      </c>
      <c r="D14" s="4">
        <v>0.46</v>
      </c>
      <c r="E14" s="4">
        <v>0.27</v>
      </c>
      <c r="F14" s="4">
        <v>0.2</v>
      </c>
      <c r="G14" s="4">
        <v>1.1499999999999999</v>
      </c>
      <c r="H14" s="4">
        <v>2.95</v>
      </c>
      <c r="I14" s="4">
        <v>2.85</v>
      </c>
      <c r="J14" s="4">
        <v>0.71</v>
      </c>
      <c r="K14" s="4">
        <v>0.17</v>
      </c>
      <c r="L14" s="4">
        <v>0.26</v>
      </c>
      <c r="M14" s="4">
        <v>0.65</v>
      </c>
    </row>
    <row r="15" spans="1:13" ht="15" customHeight="1" x14ac:dyDescent="0.2">
      <c r="A15" s="1">
        <v>1980</v>
      </c>
      <c r="B15" s="4">
        <v>0.72</v>
      </c>
      <c r="C15" s="4">
        <v>2.5499999999999998</v>
      </c>
      <c r="D15" s="4">
        <v>0.75</v>
      </c>
      <c r="E15" s="4">
        <v>0.08</v>
      </c>
      <c r="F15" s="4">
        <v>0.33</v>
      </c>
      <c r="G15" s="4">
        <v>0.03</v>
      </c>
      <c r="H15" s="4">
        <v>1.2</v>
      </c>
      <c r="I15" s="4">
        <v>3.39</v>
      </c>
      <c r="J15" s="4">
        <v>5.13</v>
      </c>
      <c r="K15" s="4">
        <v>0.08</v>
      </c>
      <c r="L15" s="4">
        <v>0.16</v>
      </c>
      <c r="M15" s="4">
        <v>0.06</v>
      </c>
    </row>
    <row r="16" spans="1:13" ht="15" customHeight="1" x14ac:dyDescent="0.2">
      <c r="A16" s="1">
        <v>1981</v>
      </c>
      <c r="B16" s="4">
        <v>0.61</v>
      </c>
      <c r="C16" s="4">
        <v>0.44</v>
      </c>
      <c r="D16" s="4">
        <v>1.19</v>
      </c>
      <c r="E16" s="4">
        <v>0.1</v>
      </c>
      <c r="F16" s="4">
        <v>1.03</v>
      </c>
      <c r="G16" s="4">
        <v>0.51</v>
      </c>
      <c r="H16" s="4">
        <v>3.38</v>
      </c>
      <c r="I16" s="4">
        <v>1.63</v>
      </c>
      <c r="J16" s="4">
        <v>0.38</v>
      </c>
      <c r="K16" s="4">
        <v>0.95</v>
      </c>
      <c r="L16" s="4">
        <v>0.61</v>
      </c>
      <c r="M16" s="4">
        <v>0.02</v>
      </c>
    </row>
    <row r="17" spans="1:13" ht="15" customHeight="1" x14ac:dyDescent="0.2">
      <c r="A17" s="1">
        <v>1982</v>
      </c>
      <c r="B17" s="4">
        <v>1.38</v>
      </c>
      <c r="C17" s="4">
        <v>1.05</v>
      </c>
      <c r="D17" s="4">
        <v>0.74</v>
      </c>
      <c r="E17" s="4">
        <v>0.12</v>
      </c>
      <c r="F17" s="4">
        <v>0.43</v>
      </c>
      <c r="G17" s="4">
        <v>0.13</v>
      </c>
      <c r="H17" s="4">
        <v>1.76</v>
      </c>
      <c r="I17" s="4">
        <v>3.09</v>
      </c>
      <c r="J17" s="4">
        <v>2.15</v>
      </c>
      <c r="K17" s="4">
        <v>0.01</v>
      </c>
      <c r="L17" s="4">
        <v>1.24</v>
      </c>
      <c r="M17" s="4">
        <v>2.02</v>
      </c>
    </row>
    <row r="18" spans="1:13" ht="15" customHeight="1" x14ac:dyDescent="0.2">
      <c r="A18" s="1">
        <v>1983</v>
      </c>
      <c r="B18" s="4">
        <v>1.26</v>
      </c>
      <c r="C18" s="4">
        <v>1.58</v>
      </c>
      <c r="D18" s="4">
        <v>1.77</v>
      </c>
      <c r="E18" s="4">
        <v>0.03</v>
      </c>
      <c r="F18" s="4">
        <v>7.0000000000000007E-2</v>
      </c>
      <c r="G18" s="4">
        <v>0.06</v>
      </c>
      <c r="H18" s="4">
        <v>4.29</v>
      </c>
      <c r="I18" s="4">
        <v>1.9</v>
      </c>
      <c r="J18" s="4">
        <v>2.0299999999999998</v>
      </c>
      <c r="K18" s="4">
        <v>3.34</v>
      </c>
      <c r="L18" s="4">
        <v>1.92</v>
      </c>
      <c r="M18" s="4">
        <v>1.04</v>
      </c>
    </row>
    <row r="19" spans="1:13" ht="15" customHeight="1" x14ac:dyDescent="0.2">
      <c r="A19" s="1">
        <v>1984</v>
      </c>
      <c r="B19" s="4">
        <v>0.64</v>
      </c>
      <c r="C19" s="4">
        <v>0</v>
      </c>
      <c r="D19" s="4">
        <v>0.05</v>
      </c>
      <c r="E19" s="4">
        <v>0.56000000000000005</v>
      </c>
      <c r="F19" s="4">
        <v>7.0000000000000007E-2</v>
      </c>
      <c r="G19" s="4">
        <v>1.0900000000000001</v>
      </c>
      <c r="H19" s="4">
        <v>1.1499999999999999</v>
      </c>
      <c r="I19" s="4">
        <v>5.37</v>
      </c>
      <c r="J19" s="4">
        <v>0.79</v>
      </c>
      <c r="K19" s="4">
        <v>2.0099999999999998</v>
      </c>
      <c r="L19" s="4">
        <v>0.75</v>
      </c>
      <c r="M19" s="4">
        <v>2.37</v>
      </c>
    </row>
    <row r="20" spans="1:13" ht="15" customHeight="1" x14ac:dyDescent="0.2">
      <c r="A20" s="1">
        <v>1985</v>
      </c>
      <c r="B20" s="4">
        <v>1.52</v>
      </c>
      <c r="C20" s="4">
        <v>0.63</v>
      </c>
      <c r="D20" s="4">
        <v>0.72</v>
      </c>
      <c r="E20" s="4">
        <v>0.88</v>
      </c>
      <c r="F20" s="4">
        <v>0.25</v>
      </c>
      <c r="G20" s="4">
        <v>7.0000000000000007E-2</v>
      </c>
      <c r="H20" s="4">
        <v>4.41</v>
      </c>
      <c r="I20" s="4">
        <v>2.38</v>
      </c>
      <c r="J20" s="4">
        <v>3.21</v>
      </c>
      <c r="K20" s="4">
        <v>5.33</v>
      </c>
      <c r="L20" s="4">
        <v>1.39</v>
      </c>
      <c r="M20" s="4">
        <v>0.52</v>
      </c>
    </row>
    <row r="21" spans="1:13" ht="15" customHeight="1" x14ac:dyDescent="0.2">
      <c r="A21" s="1">
        <v>1986</v>
      </c>
      <c r="B21" s="4">
        <v>0.1</v>
      </c>
      <c r="C21" s="4">
        <v>1.42</v>
      </c>
      <c r="D21" s="4">
        <v>1.8</v>
      </c>
      <c r="E21" s="4">
        <v>0</v>
      </c>
      <c r="F21" s="4">
        <v>0.27</v>
      </c>
      <c r="G21" s="4">
        <v>0.97</v>
      </c>
      <c r="H21" s="4">
        <v>2.2000000000000002</v>
      </c>
      <c r="I21" s="4">
        <v>2.11</v>
      </c>
      <c r="J21" s="4">
        <v>1.29</v>
      </c>
      <c r="K21" s="4">
        <v>1.36</v>
      </c>
      <c r="L21" s="4">
        <v>1.49</v>
      </c>
      <c r="M21" s="4">
        <v>3.14</v>
      </c>
    </row>
    <row r="22" spans="1:13" ht="15" customHeight="1" x14ac:dyDescent="0.2">
      <c r="A22" s="1">
        <v>1987</v>
      </c>
      <c r="B22" s="4">
        <v>0.36</v>
      </c>
      <c r="C22" s="4">
        <v>0.54</v>
      </c>
      <c r="D22" s="4">
        <v>0.42</v>
      </c>
      <c r="E22" s="4">
        <v>0.28999999999999998</v>
      </c>
      <c r="F22" s="4">
        <v>0.76</v>
      </c>
      <c r="G22" s="4">
        <v>0.86</v>
      </c>
      <c r="H22" s="4">
        <v>4.3099999999999996</v>
      </c>
      <c r="I22" s="4">
        <v>3.98</v>
      </c>
      <c r="J22" s="4">
        <v>1.1399999999999999</v>
      </c>
      <c r="K22" s="4">
        <v>0.77</v>
      </c>
      <c r="L22" s="4">
        <v>0.31</v>
      </c>
      <c r="M22" s="4">
        <v>1.73</v>
      </c>
    </row>
    <row r="23" spans="1:13" ht="15" customHeight="1" x14ac:dyDescent="0.2">
      <c r="A23" s="1">
        <v>1988</v>
      </c>
      <c r="B23" s="4">
        <v>1.02</v>
      </c>
      <c r="C23" s="4">
        <v>1.19</v>
      </c>
      <c r="D23" s="4">
        <v>0.51</v>
      </c>
      <c r="E23" s="4">
        <v>1.96</v>
      </c>
      <c r="F23" s="4">
        <v>0</v>
      </c>
      <c r="G23" s="4">
        <v>0.18</v>
      </c>
      <c r="H23" s="4">
        <v>1.8</v>
      </c>
      <c r="I23" s="4">
        <v>4.5599999999999996</v>
      </c>
      <c r="J23" s="4">
        <v>1.77</v>
      </c>
      <c r="K23" s="4">
        <v>1.02</v>
      </c>
      <c r="L23" s="4">
        <v>0.88</v>
      </c>
      <c r="M23" s="4">
        <v>0.21</v>
      </c>
    </row>
    <row r="24" spans="1:13" ht="15" customHeight="1" x14ac:dyDescent="0.2">
      <c r="A24" s="1">
        <v>1989</v>
      </c>
      <c r="B24" s="4">
        <v>0.72</v>
      </c>
      <c r="C24" s="4">
        <v>0.35</v>
      </c>
      <c r="D24" s="4">
        <v>0.36</v>
      </c>
      <c r="E24" s="4">
        <v>0.1</v>
      </c>
      <c r="F24" s="4">
        <v>0.47</v>
      </c>
      <c r="G24" s="4">
        <v>0</v>
      </c>
      <c r="H24" s="4">
        <v>1.31</v>
      </c>
      <c r="I24" s="4">
        <v>0.87</v>
      </c>
      <c r="J24" s="4">
        <v>0.37</v>
      </c>
      <c r="K24" s="4">
        <v>0.57999999999999996</v>
      </c>
      <c r="L24" s="4">
        <v>0</v>
      </c>
      <c r="M24" s="4">
        <v>0.15</v>
      </c>
    </row>
    <row r="25" spans="1:13" ht="15" customHeight="1" x14ac:dyDescent="0.2">
      <c r="A25" s="1">
        <v>1990</v>
      </c>
      <c r="B25" s="4">
        <v>0.79</v>
      </c>
      <c r="C25" s="4">
        <v>0.82</v>
      </c>
      <c r="D25" s="4">
        <v>0.19</v>
      </c>
      <c r="E25" s="4">
        <v>0.15</v>
      </c>
      <c r="F25" s="4">
        <v>0.47</v>
      </c>
      <c r="G25" s="4">
        <v>0.18</v>
      </c>
      <c r="H25" s="4">
        <v>4.41</v>
      </c>
      <c r="I25" s="4">
        <v>2.92</v>
      </c>
      <c r="J25" s="4">
        <v>1.81</v>
      </c>
      <c r="K25" s="4">
        <v>0.94</v>
      </c>
      <c r="L25" s="4">
        <v>2.1800000000000002</v>
      </c>
      <c r="M25" s="4">
        <v>2.54</v>
      </c>
    </row>
    <row r="26" spans="1:13" ht="15" customHeight="1" x14ac:dyDescent="0.2">
      <c r="A26" s="1">
        <v>1991</v>
      </c>
      <c r="B26" s="4">
        <v>0.74</v>
      </c>
      <c r="C26" s="4">
        <v>2.1</v>
      </c>
      <c r="D26" s="4">
        <v>1.71</v>
      </c>
      <c r="E26" s="4">
        <v>0</v>
      </c>
      <c r="F26" s="4">
        <v>0.02</v>
      </c>
      <c r="G26" s="4">
        <v>0.12</v>
      </c>
      <c r="H26" s="4">
        <v>3.25</v>
      </c>
      <c r="I26" s="4">
        <v>1.77</v>
      </c>
      <c r="J26" s="4">
        <v>1.55</v>
      </c>
      <c r="K26" s="4">
        <v>0.5</v>
      </c>
      <c r="L26" s="4">
        <v>0.61</v>
      </c>
      <c r="M26" s="4">
        <v>4.47</v>
      </c>
    </row>
    <row r="27" spans="1:13" ht="15" customHeight="1" x14ac:dyDescent="0.2">
      <c r="A27" s="1">
        <v>1992</v>
      </c>
      <c r="B27" s="4">
        <v>1.28</v>
      </c>
      <c r="C27" s="4">
        <v>0.9</v>
      </c>
      <c r="D27" s="4">
        <v>1.66</v>
      </c>
      <c r="E27" s="4">
        <v>0.92</v>
      </c>
      <c r="F27" s="4">
        <v>3.53</v>
      </c>
      <c r="G27" s="4">
        <v>0.41</v>
      </c>
      <c r="H27" s="4">
        <v>1.28</v>
      </c>
      <c r="I27" s="4">
        <v>2.8</v>
      </c>
      <c r="J27" s="4">
        <v>0.37</v>
      </c>
      <c r="K27" s="4">
        <v>0.92</v>
      </c>
      <c r="L27" s="4">
        <v>0.05</v>
      </c>
      <c r="M27" s="4">
        <v>3.68</v>
      </c>
    </row>
    <row r="28" spans="1:13" ht="15" customHeight="1" x14ac:dyDescent="0.2">
      <c r="A28" s="1">
        <v>1993</v>
      </c>
      <c r="B28" s="4">
        <v>4.5599999999999996</v>
      </c>
      <c r="C28" s="4">
        <v>1.31</v>
      </c>
      <c r="D28" s="4">
        <v>0.51</v>
      </c>
      <c r="E28" s="4">
        <v>0</v>
      </c>
      <c r="F28" s="4">
        <v>0.08</v>
      </c>
      <c r="G28" s="4">
        <v>0</v>
      </c>
      <c r="H28" s="4">
        <v>0.48</v>
      </c>
      <c r="I28" s="4">
        <v>3.36</v>
      </c>
      <c r="J28" s="4">
        <v>0.22</v>
      </c>
      <c r="K28" s="4">
        <v>1.56</v>
      </c>
      <c r="L28" s="4">
        <v>0.82</v>
      </c>
      <c r="M28" s="4">
        <v>0.38</v>
      </c>
    </row>
    <row r="29" spans="1:13" ht="15" customHeight="1" x14ac:dyDescent="0.2">
      <c r="A29" s="1">
        <v>1994</v>
      </c>
      <c r="B29" s="4">
        <v>0.3</v>
      </c>
      <c r="C29" s="4">
        <v>0.62</v>
      </c>
      <c r="D29" s="4">
        <v>0.71</v>
      </c>
      <c r="E29" s="4">
        <v>0.15</v>
      </c>
      <c r="F29" s="4">
        <v>0.71</v>
      </c>
      <c r="G29" s="4">
        <v>0.26</v>
      </c>
      <c r="H29" s="4">
        <v>2.7</v>
      </c>
      <c r="I29" s="4">
        <v>2.48</v>
      </c>
      <c r="J29" s="4">
        <v>0.38</v>
      </c>
      <c r="K29" s="4">
        <v>0.71</v>
      </c>
      <c r="L29" s="4">
        <v>2.79</v>
      </c>
      <c r="M29" s="4">
        <v>2.62</v>
      </c>
    </row>
    <row r="30" spans="1:13" ht="15" customHeight="1" x14ac:dyDescent="0.2">
      <c r="A30" s="1">
        <v>1995</v>
      </c>
      <c r="B30" s="4">
        <v>1.77</v>
      </c>
      <c r="C30" s="4">
        <v>1.1599999999999999</v>
      </c>
      <c r="D30" s="4">
        <v>0.41</v>
      </c>
      <c r="E30" s="4">
        <v>7.0000000000000007E-2</v>
      </c>
      <c r="F30" s="4">
        <v>0.09</v>
      </c>
      <c r="G30" s="4">
        <v>0.23</v>
      </c>
      <c r="H30" s="4">
        <v>0.46</v>
      </c>
      <c r="I30" s="4">
        <v>1.17</v>
      </c>
      <c r="J30" s="4">
        <v>0.96</v>
      </c>
      <c r="K30" s="4">
        <v>0</v>
      </c>
      <c r="L30" s="4">
        <v>0.37</v>
      </c>
      <c r="M30" s="4">
        <v>0.47</v>
      </c>
    </row>
    <row r="31" spans="1:13" ht="15" customHeight="1" x14ac:dyDescent="0.2">
      <c r="A31" s="1">
        <v>1996</v>
      </c>
      <c r="B31" s="4">
        <v>0.01</v>
      </c>
      <c r="C31" s="4">
        <v>0.94</v>
      </c>
      <c r="D31" s="4">
        <v>0</v>
      </c>
      <c r="E31" s="4">
        <v>0.24</v>
      </c>
      <c r="F31" s="4">
        <v>0</v>
      </c>
      <c r="G31" s="4">
        <v>0.52</v>
      </c>
      <c r="H31" s="4">
        <v>2.41</v>
      </c>
      <c r="I31" s="4">
        <v>4.28</v>
      </c>
      <c r="J31" s="4">
        <v>3.48</v>
      </c>
      <c r="K31" s="4">
        <v>1.96</v>
      </c>
      <c r="L31" s="4">
        <v>0.65</v>
      </c>
      <c r="M31" s="4">
        <v>0</v>
      </c>
    </row>
    <row r="32" spans="1:13" ht="15" customHeight="1" x14ac:dyDescent="0.2">
      <c r="A32" s="1">
        <v>1997</v>
      </c>
      <c r="B32" s="4">
        <v>1.32</v>
      </c>
      <c r="C32" s="4">
        <v>1.42</v>
      </c>
      <c r="D32" s="4">
        <v>0.35</v>
      </c>
      <c r="E32" s="4">
        <v>0.12</v>
      </c>
      <c r="F32" s="4">
        <v>1.89</v>
      </c>
      <c r="G32" s="4">
        <v>0.75</v>
      </c>
      <c r="H32" s="4">
        <v>1.25</v>
      </c>
      <c r="I32" s="4">
        <v>1.68</v>
      </c>
      <c r="J32" s="4">
        <v>2.5</v>
      </c>
      <c r="K32" s="4">
        <v>1.46</v>
      </c>
      <c r="L32" s="4">
        <v>1.19</v>
      </c>
      <c r="M32" s="4">
        <v>2.02</v>
      </c>
    </row>
    <row r="33" spans="1:13" ht="15" customHeight="1" x14ac:dyDescent="0.2">
      <c r="A33" s="1">
        <v>1998</v>
      </c>
      <c r="B33" s="4">
        <v>0.17</v>
      </c>
      <c r="C33" s="4">
        <v>1.82</v>
      </c>
      <c r="D33" s="4">
        <v>1.29</v>
      </c>
      <c r="E33" s="4">
        <v>0.08</v>
      </c>
      <c r="F33" s="4">
        <v>0</v>
      </c>
      <c r="G33" s="4">
        <v>0.14000000000000001</v>
      </c>
      <c r="H33" s="4">
        <v>3.19</v>
      </c>
      <c r="I33" s="4">
        <v>1.41</v>
      </c>
      <c r="J33" s="4">
        <v>1.36</v>
      </c>
      <c r="K33" s="4">
        <v>1.25</v>
      </c>
      <c r="L33" s="4">
        <v>0.74</v>
      </c>
      <c r="M33" s="4">
        <v>0.33</v>
      </c>
    </row>
    <row r="34" spans="1:13" ht="15" customHeight="1" x14ac:dyDescent="0.2">
      <c r="A34" s="1">
        <v>1999</v>
      </c>
      <c r="B34" s="4">
        <v>0.11</v>
      </c>
      <c r="C34" s="4">
        <v>0</v>
      </c>
      <c r="D34" s="4">
        <v>0.17</v>
      </c>
      <c r="E34" s="4">
        <v>0.17</v>
      </c>
      <c r="F34" s="4">
        <v>0.05</v>
      </c>
      <c r="G34" s="4">
        <v>0.45</v>
      </c>
      <c r="H34" s="4">
        <v>4.5599999999999996</v>
      </c>
      <c r="I34" s="4">
        <v>3.13</v>
      </c>
      <c r="J34" s="4">
        <v>1.68</v>
      </c>
      <c r="K34" s="4">
        <v>0.02</v>
      </c>
      <c r="L34" s="4">
        <v>0</v>
      </c>
      <c r="M34" s="4">
        <v>0</v>
      </c>
    </row>
    <row r="35" spans="1:13" ht="15" customHeight="1" x14ac:dyDescent="0.2">
      <c r="A35" s="1">
        <v>2000</v>
      </c>
      <c r="B35" s="4">
        <v>7.0000000000000007E-2</v>
      </c>
      <c r="C35" s="4">
        <v>0.05</v>
      </c>
      <c r="D35" s="4">
        <v>0.57999999999999996</v>
      </c>
      <c r="E35" s="4">
        <v>0</v>
      </c>
      <c r="F35" s="4">
        <v>0</v>
      </c>
      <c r="G35" s="4">
        <v>3.29</v>
      </c>
      <c r="H35" s="4">
        <v>0.65</v>
      </c>
      <c r="I35" s="4">
        <v>2.34</v>
      </c>
      <c r="J35" s="4">
        <v>0</v>
      </c>
      <c r="K35" s="4">
        <v>3.29</v>
      </c>
      <c r="L35" s="4">
        <v>1.79</v>
      </c>
      <c r="M35" s="4">
        <v>0.33</v>
      </c>
    </row>
    <row r="36" spans="1:13" ht="15" customHeight="1" x14ac:dyDescent="0.2">
      <c r="A36" s="1">
        <v>2001</v>
      </c>
      <c r="B36" s="4">
        <v>1.2</v>
      </c>
      <c r="C36" s="4">
        <v>0.49</v>
      </c>
      <c r="D36" s="4">
        <v>0.27</v>
      </c>
      <c r="E36" s="4">
        <v>0.66</v>
      </c>
      <c r="F36" s="4">
        <v>0.38</v>
      </c>
      <c r="G36" s="4">
        <v>0.28000000000000003</v>
      </c>
      <c r="H36" s="4">
        <v>1.64</v>
      </c>
      <c r="I36" s="4">
        <v>2.0699999999999998</v>
      </c>
      <c r="J36" s="4">
        <v>1.51</v>
      </c>
      <c r="K36" s="4">
        <v>0.63</v>
      </c>
      <c r="L36" s="4">
        <v>0.27</v>
      </c>
      <c r="M36" s="4">
        <v>0.65</v>
      </c>
    </row>
    <row r="37" spans="1:13" ht="15" customHeight="1" x14ac:dyDescent="0.2">
      <c r="A37" s="1">
        <v>2002</v>
      </c>
      <c r="B37" s="4">
        <v>0.4</v>
      </c>
      <c r="C37" s="4">
        <v>0.44</v>
      </c>
      <c r="D37" s="4">
        <v>0.03</v>
      </c>
      <c r="E37" s="4">
        <v>0.05</v>
      </c>
      <c r="F37" s="4">
        <v>0</v>
      </c>
      <c r="G37" s="4">
        <v>0.19</v>
      </c>
      <c r="H37" s="4">
        <v>2.74</v>
      </c>
      <c r="I37" s="4">
        <v>3.81</v>
      </c>
      <c r="J37" s="4">
        <v>3.18</v>
      </c>
      <c r="K37" s="4">
        <v>1.82</v>
      </c>
      <c r="L37" s="4">
        <v>0.24</v>
      </c>
      <c r="M37" s="4">
        <v>1.52</v>
      </c>
    </row>
    <row r="38" spans="1:13" ht="15" customHeight="1" x14ac:dyDescent="0.2">
      <c r="A38" s="1">
        <v>2003</v>
      </c>
      <c r="B38" s="4">
        <v>0.08</v>
      </c>
      <c r="C38" s="4">
        <v>0.44</v>
      </c>
      <c r="D38" s="4">
        <v>0.5</v>
      </c>
      <c r="E38" s="4">
        <v>0.03</v>
      </c>
      <c r="F38" s="4">
        <v>0.02</v>
      </c>
      <c r="G38" s="4">
        <v>0.25</v>
      </c>
      <c r="H38" s="4">
        <v>0.44</v>
      </c>
      <c r="I38" s="4">
        <v>0.9</v>
      </c>
      <c r="J38" s="4">
        <v>0.15</v>
      </c>
      <c r="K38" s="4">
        <v>0.25</v>
      </c>
      <c r="L38" s="4">
        <v>1.29</v>
      </c>
      <c r="M38" s="4">
        <v>0.15</v>
      </c>
    </row>
    <row r="39" spans="1:13" ht="15" customHeight="1" x14ac:dyDescent="0.2">
      <c r="A39" s="1">
        <v>2004</v>
      </c>
      <c r="B39" s="4">
        <v>1.49</v>
      </c>
      <c r="C39" s="4">
        <v>0.51</v>
      </c>
      <c r="D39" s="4">
        <v>1.59</v>
      </c>
      <c r="E39" s="4">
        <v>1.51</v>
      </c>
      <c r="F39" s="4">
        <v>0.34</v>
      </c>
      <c r="G39" s="4">
        <v>0.02</v>
      </c>
      <c r="H39" s="4">
        <v>1.42</v>
      </c>
      <c r="I39" s="4">
        <v>1.65</v>
      </c>
      <c r="J39" s="4">
        <v>2.27</v>
      </c>
      <c r="K39" s="4">
        <v>0.75</v>
      </c>
      <c r="L39" s="4">
        <v>0.91</v>
      </c>
      <c r="M39" s="4">
        <v>0.79</v>
      </c>
    </row>
    <row r="40" spans="1:13" ht="15" customHeight="1" x14ac:dyDescent="0.2">
      <c r="A40" s="1">
        <v>2005</v>
      </c>
      <c r="B40" s="4">
        <v>2.41</v>
      </c>
      <c r="C40" s="4">
        <v>2.92</v>
      </c>
      <c r="D40" s="4">
        <v>0.51</v>
      </c>
      <c r="E40" s="4">
        <v>0.37</v>
      </c>
      <c r="F40" s="4">
        <v>0.55000000000000004</v>
      </c>
      <c r="G40" s="4">
        <v>0</v>
      </c>
      <c r="H40" s="4">
        <v>2.09</v>
      </c>
      <c r="I40" s="4">
        <v>0.84</v>
      </c>
      <c r="J40" s="4">
        <v>1.36</v>
      </c>
      <c r="K40" s="4">
        <v>1.39</v>
      </c>
      <c r="L40" s="4">
        <v>0</v>
      </c>
      <c r="M40" s="4">
        <v>0.17</v>
      </c>
    </row>
    <row r="41" spans="1:13" ht="15" customHeight="1" x14ac:dyDescent="0.2">
      <c r="A41" s="1">
        <v>2006</v>
      </c>
      <c r="B41" s="4">
        <v>0.14000000000000001</v>
      </c>
      <c r="C41" s="4">
        <v>0.11</v>
      </c>
      <c r="D41" s="4">
        <v>0.22</v>
      </c>
      <c r="E41" s="4">
        <v>0.05</v>
      </c>
      <c r="F41" s="4">
        <v>0.45</v>
      </c>
      <c r="G41" s="4">
        <v>0.88</v>
      </c>
      <c r="H41" s="4">
        <v>3.9</v>
      </c>
      <c r="I41" s="4">
        <v>4.63</v>
      </c>
      <c r="J41" s="4">
        <v>2.13</v>
      </c>
      <c r="K41" s="4">
        <v>3.65</v>
      </c>
      <c r="L41" s="4">
        <v>0</v>
      </c>
      <c r="M41" s="4">
        <v>0.42</v>
      </c>
    </row>
    <row r="42" spans="1:13" ht="15" customHeight="1" x14ac:dyDescent="0.2">
      <c r="A42" s="1">
        <v>2007</v>
      </c>
      <c r="B42" s="4">
        <v>1.26</v>
      </c>
      <c r="C42" s="4">
        <v>0.6</v>
      </c>
      <c r="D42" s="4">
        <v>1.41</v>
      </c>
      <c r="E42" s="4">
        <v>0.43</v>
      </c>
      <c r="F42" s="4">
        <v>1.1399999999999999</v>
      </c>
      <c r="G42" s="4">
        <v>0.4</v>
      </c>
      <c r="H42" s="4">
        <v>2.23</v>
      </c>
      <c r="I42" s="4">
        <v>2.64</v>
      </c>
      <c r="J42" s="4">
        <v>1.39</v>
      </c>
      <c r="K42" s="4">
        <v>0.3</v>
      </c>
      <c r="L42" s="4">
        <v>0.31</v>
      </c>
      <c r="M42" s="4">
        <v>1.23</v>
      </c>
    </row>
    <row r="43" spans="1:13" ht="15" customHeight="1" x14ac:dyDescent="0.2">
      <c r="A43" s="1">
        <v>2008</v>
      </c>
      <c r="B43" s="4">
        <v>0.52</v>
      </c>
      <c r="C43" s="4">
        <v>0.28999999999999998</v>
      </c>
      <c r="D43" s="4">
        <v>0</v>
      </c>
      <c r="E43" s="4">
        <v>0.02</v>
      </c>
      <c r="F43" s="4">
        <v>0.32</v>
      </c>
      <c r="G43" s="4">
        <v>0.1</v>
      </c>
      <c r="H43" s="4">
        <v>5.12</v>
      </c>
      <c r="I43" s="4">
        <v>3.2</v>
      </c>
      <c r="J43" s="4">
        <v>2.97</v>
      </c>
      <c r="K43" s="4">
        <v>1.08</v>
      </c>
      <c r="L43" s="4">
        <v>0.81</v>
      </c>
      <c r="M43" s="4">
        <v>1.01</v>
      </c>
    </row>
    <row r="44" spans="1:13" ht="15" customHeight="1" x14ac:dyDescent="0.2">
      <c r="A44" s="1">
        <v>2009</v>
      </c>
      <c r="B44" s="4">
        <v>0.12</v>
      </c>
      <c r="C44" s="4">
        <v>0.06</v>
      </c>
      <c r="D44" s="4">
        <v>0.2</v>
      </c>
      <c r="E44" s="4">
        <v>0.02</v>
      </c>
      <c r="F44" s="4">
        <v>0.04</v>
      </c>
      <c r="G44" s="4">
        <v>0.74</v>
      </c>
      <c r="H44" s="4">
        <v>0.93</v>
      </c>
      <c r="I44" s="4">
        <v>0.66</v>
      </c>
      <c r="J44" s="4">
        <v>2.57</v>
      </c>
      <c r="K44" s="4">
        <v>0.73</v>
      </c>
      <c r="L44" s="4">
        <v>0.41</v>
      </c>
      <c r="M44" s="4">
        <v>0.69</v>
      </c>
    </row>
    <row r="45" spans="1:13" ht="15" customHeight="1" x14ac:dyDescent="0.2">
      <c r="A45" s="1">
        <v>2010</v>
      </c>
      <c r="B45" s="4">
        <v>2.4900000000000002</v>
      </c>
      <c r="C45" s="4">
        <v>1.25</v>
      </c>
      <c r="D45" s="4">
        <v>0.45</v>
      </c>
      <c r="E45" s="4">
        <v>0.16</v>
      </c>
      <c r="F45" s="4">
        <v>0.16</v>
      </c>
      <c r="G45" s="4">
        <v>0.51</v>
      </c>
      <c r="H45" s="4">
        <v>5.18</v>
      </c>
      <c r="I45" s="4">
        <v>2.48</v>
      </c>
      <c r="J45" s="4">
        <v>2.12</v>
      </c>
      <c r="K45" s="4">
        <v>0.13</v>
      </c>
      <c r="L45" s="4">
        <v>0.04</v>
      </c>
      <c r="M45" s="4">
        <v>0.77</v>
      </c>
    </row>
    <row r="46" spans="1:13" ht="15" customHeight="1" x14ac:dyDescent="0.2">
      <c r="A46" s="1">
        <v>2011</v>
      </c>
      <c r="B46" s="4">
        <v>0</v>
      </c>
      <c r="C46" s="4">
        <v>0.24</v>
      </c>
      <c r="D46" s="4">
        <v>0</v>
      </c>
      <c r="E46" s="4">
        <v>0</v>
      </c>
      <c r="F46" s="4">
        <v>0</v>
      </c>
      <c r="G46" s="4">
        <v>0</v>
      </c>
      <c r="H46" s="4">
        <v>1.18</v>
      </c>
      <c r="I46" s="4">
        <v>0.93</v>
      </c>
      <c r="J46" s="4">
        <v>0.68</v>
      </c>
      <c r="K46" s="4">
        <v>0.63</v>
      </c>
      <c r="L46" s="4">
        <v>0.38</v>
      </c>
      <c r="M46" s="4">
        <v>1.64</v>
      </c>
    </row>
    <row r="47" spans="1:13" ht="15" customHeight="1" x14ac:dyDescent="0.2">
      <c r="A47" s="1">
        <v>2012</v>
      </c>
      <c r="B47" s="4">
        <v>0.12</v>
      </c>
      <c r="C47" s="4">
        <v>0.69</v>
      </c>
      <c r="D47" s="4">
        <v>0.25</v>
      </c>
      <c r="E47" s="4">
        <v>0</v>
      </c>
      <c r="F47" s="4">
        <v>0</v>
      </c>
      <c r="G47" s="4">
        <v>0.06</v>
      </c>
      <c r="H47" s="4">
        <v>1.26</v>
      </c>
      <c r="I47" s="4">
        <v>1.62</v>
      </c>
      <c r="J47" s="4">
        <v>1.55</v>
      </c>
      <c r="K47" s="4">
        <v>0.01</v>
      </c>
      <c r="L47" s="4">
        <v>0.44</v>
      </c>
      <c r="M47" s="4">
        <v>0.26</v>
      </c>
    </row>
    <row r="48" spans="1:13" ht="15" customHeight="1" x14ac:dyDescent="0.2">
      <c r="A48" s="1">
        <v>2013</v>
      </c>
      <c r="B48" s="4">
        <v>0.67</v>
      </c>
      <c r="C48" s="4">
        <v>0.17</v>
      </c>
      <c r="D48" s="4">
        <v>0.28000000000000003</v>
      </c>
      <c r="E48" s="4">
        <v>0</v>
      </c>
      <c r="F48" s="4">
        <v>0.1</v>
      </c>
      <c r="G48" s="4">
        <v>0</v>
      </c>
      <c r="H48" s="4">
        <v>3.92</v>
      </c>
      <c r="I48" s="4">
        <v>2.59</v>
      </c>
      <c r="J48" s="4">
        <v>2.35</v>
      </c>
      <c r="K48" s="4">
        <v>0.05</v>
      </c>
      <c r="L48" s="4">
        <v>0.49</v>
      </c>
      <c r="M48" s="4">
        <v>0.82</v>
      </c>
    </row>
    <row r="49" spans="1:13" ht="15" customHeight="1" x14ac:dyDescent="0.2">
      <c r="A49" s="1">
        <v>2014</v>
      </c>
      <c r="B49" s="4">
        <v>0</v>
      </c>
      <c r="C49" s="4">
        <v>0</v>
      </c>
      <c r="D49" s="4">
        <v>0.86</v>
      </c>
      <c r="E49" s="4">
        <v>0.23</v>
      </c>
      <c r="F49" s="4">
        <v>0.01</v>
      </c>
      <c r="G49" s="4">
        <v>0.37</v>
      </c>
      <c r="H49" s="4">
        <v>2.2200000000000002</v>
      </c>
      <c r="I49" s="4">
        <v>3.62</v>
      </c>
      <c r="J49" s="4">
        <v>2.62</v>
      </c>
      <c r="K49" s="4">
        <v>0.85</v>
      </c>
      <c r="L49" s="4">
        <v>0.55000000000000004</v>
      </c>
      <c r="M49" s="4">
        <v>0.76</v>
      </c>
    </row>
    <row r="50" spans="1:13" ht="15" customHeight="1" x14ac:dyDescent="0.2">
      <c r="A50" s="1">
        <v>2015</v>
      </c>
      <c r="B50" s="4">
        <v>2.5099999999999998</v>
      </c>
      <c r="C50" s="4">
        <v>0.08</v>
      </c>
      <c r="D50" s="4">
        <v>0.6</v>
      </c>
      <c r="E50" s="4">
        <v>0.33</v>
      </c>
      <c r="F50" s="4">
        <v>0.88</v>
      </c>
      <c r="G50" s="4">
        <v>1.39</v>
      </c>
      <c r="H50" s="4">
        <v>3.09</v>
      </c>
      <c r="I50" s="4">
        <v>2.2400000000000002</v>
      </c>
      <c r="J50" s="4">
        <v>0.71</v>
      </c>
      <c r="K50" s="4">
        <v>0.87</v>
      </c>
      <c r="L50" s="4">
        <v>1.66</v>
      </c>
      <c r="M50" s="4">
        <v>0.84</v>
      </c>
    </row>
    <row r="51" spans="1:13" ht="15" customHeight="1" x14ac:dyDescent="0.2">
      <c r="A51" s="1">
        <v>2016</v>
      </c>
      <c r="B51" s="4">
        <v>1.2</v>
      </c>
      <c r="C51" s="4">
        <v>0.25</v>
      </c>
      <c r="D51" s="4">
        <v>0</v>
      </c>
      <c r="E51" s="4">
        <v>0.2</v>
      </c>
      <c r="F51" s="4">
        <v>0.44</v>
      </c>
      <c r="G51" s="4">
        <v>0.23</v>
      </c>
      <c r="H51" s="4">
        <v>2.62</v>
      </c>
      <c r="I51" s="4">
        <v>2.31</v>
      </c>
      <c r="J51" s="4">
        <v>3.45</v>
      </c>
      <c r="K51" s="4">
        <v>0.28999999999999998</v>
      </c>
      <c r="L51" s="4">
        <v>0.42</v>
      </c>
      <c r="M51" s="4">
        <v>2.11</v>
      </c>
    </row>
    <row r="52" spans="1:13" ht="15" customHeight="1" x14ac:dyDescent="0.2">
      <c r="A52" s="1">
        <v>2017</v>
      </c>
      <c r="B52" s="4">
        <v>2.82</v>
      </c>
      <c r="C52" s="4">
        <v>0.82</v>
      </c>
      <c r="D52" s="4">
        <v>0.12</v>
      </c>
      <c r="E52" s="4">
        <v>0</v>
      </c>
      <c r="F52" s="4">
        <v>0.23</v>
      </c>
      <c r="G52" s="4">
        <v>0.45</v>
      </c>
      <c r="H52" s="4">
        <v>6.21</v>
      </c>
      <c r="I52" s="4">
        <v>1.18</v>
      </c>
      <c r="J52" s="4">
        <v>0.02</v>
      </c>
      <c r="K52" s="4">
        <v>0</v>
      </c>
      <c r="L52" s="4">
        <v>0.08</v>
      </c>
      <c r="M52" s="4">
        <v>0.46</v>
      </c>
    </row>
    <row r="53" spans="1:13" ht="15" customHeight="1" x14ac:dyDescent="0.2">
      <c r="A53" s="1">
        <v>2018</v>
      </c>
      <c r="B53" s="4">
        <v>0.21</v>
      </c>
      <c r="C53" s="4">
        <v>1.98</v>
      </c>
      <c r="D53" s="4">
        <v>0.21</v>
      </c>
      <c r="E53" s="4">
        <v>0</v>
      </c>
      <c r="F53" s="4">
        <v>0</v>
      </c>
      <c r="G53" s="4">
        <v>0.51</v>
      </c>
      <c r="H53" s="4">
        <v>4.91</v>
      </c>
      <c r="I53" s="4">
        <v>1.29</v>
      </c>
      <c r="J53" s="4">
        <v>1.9</v>
      </c>
      <c r="K53" s="4">
        <v>3.09</v>
      </c>
      <c r="L53" s="4">
        <v>0.08</v>
      </c>
      <c r="M53" s="4">
        <v>1.64</v>
      </c>
    </row>
    <row r="54" spans="1:13" ht="15" customHeight="1" x14ac:dyDescent="0.2">
      <c r="A54" s="1">
        <v>2019</v>
      </c>
      <c r="B54" s="4">
        <v>0.88</v>
      </c>
      <c r="C54" s="4">
        <v>1.1100000000000001</v>
      </c>
      <c r="D54" s="4">
        <v>0.62</v>
      </c>
      <c r="E54" s="4">
        <v>0.47</v>
      </c>
      <c r="F54" s="4">
        <v>0.99</v>
      </c>
      <c r="G54" s="4">
        <v>0.14000000000000001</v>
      </c>
      <c r="H54" s="4">
        <v>1.29</v>
      </c>
      <c r="I54" s="4">
        <v>0.89</v>
      </c>
      <c r="J54" s="4">
        <v>2.69</v>
      </c>
      <c r="K54" s="4">
        <v>0</v>
      </c>
      <c r="L54" s="4">
        <v>3.02</v>
      </c>
      <c r="M54" s="4">
        <v>2.08</v>
      </c>
    </row>
    <row r="55" spans="1:13" ht="15" customHeight="1" x14ac:dyDescent="0.2">
      <c r="A55" s="1">
        <v>2020</v>
      </c>
      <c r="B55" s="4">
        <v>0.85</v>
      </c>
      <c r="C55" s="4">
        <v>1.55</v>
      </c>
      <c r="D55" s="4">
        <v>1.56</v>
      </c>
      <c r="E55" s="4">
        <v>0</v>
      </c>
      <c r="F55" s="4">
        <v>7.0000000000000007E-2</v>
      </c>
      <c r="G55" s="4">
        <v>0.21</v>
      </c>
      <c r="H55" s="4">
        <v>0.77</v>
      </c>
      <c r="I55" s="4">
        <v>0.37</v>
      </c>
      <c r="J55" s="4">
        <v>0.08</v>
      </c>
      <c r="K55" s="4">
        <v>0.44</v>
      </c>
      <c r="L55" s="4">
        <v>0.01</v>
      </c>
      <c r="M55" s="4">
        <v>0.51</v>
      </c>
    </row>
    <row r="56" spans="1:13" ht="15" customHeight="1" x14ac:dyDescent="0.2">
      <c r="A56" s="1">
        <v>2021</v>
      </c>
      <c r="B56" s="4">
        <v>0.83</v>
      </c>
      <c r="C56" s="4">
        <v>0.47</v>
      </c>
      <c r="D56" s="4">
        <v>0.04</v>
      </c>
      <c r="E56" s="4">
        <v>0.02</v>
      </c>
      <c r="F56" s="4">
        <v>0.02</v>
      </c>
      <c r="G56" s="4">
        <v>0.2</v>
      </c>
      <c r="H56" s="4">
        <v>2.87</v>
      </c>
      <c r="I56" s="4">
        <v>4.3499999999999996</v>
      </c>
      <c r="J56" s="4">
        <v>2.68</v>
      </c>
      <c r="K56" s="4">
        <v>0.14000000000000001</v>
      </c>
      <c r="L56" s="4">
        <v>0.08</v>
      </c>
      <c r="M56" s="4">
        <v>0.77</v>
      </c>
    </row>
    <row r="57" spans="1:13" ht="15" customHeight="1" x14ac:dyDescent="0.2">
      <c r="A57" s="1">
        <v>2022</v>
      </c>
      <c r="B57" s="4">
        <v>0.63</v>
      </c>
      <c r="C57" s="4">
        <v>0.18000000000000002</v>
      </c>
      <c r="D57" s="4">
        <v>0.44999999999999996</v>
      </c>
      <c r="E57" s="4">
        <v>0</v>
      </c>
      <c r="F57" s="4">
        <v>0</v>
      </c>
      <c r="G57" s="4">
        <v>1.8399999999999999</v>
      </c>
      <c r="H57" s="4">
        <v>0.6100000000000001</v>
      </c>
      <c r="I57" s="4">
        <v>4.2699999999999996</v>
      </c>
      <c r="J57" s="4">
        <v>1.4000000000000001</v>
      </c>
      <c r="K57" s="4">
        <v>2.7699999999999996</v>
      </c>
      <c r="L57" s="4">
        <v>0.05</v>
      </c>
      <c r="M57" s="4">
        <v>1.7000000000000002</v>
      </c>
    </row>
    <row r="58" spans="1:13" ht="15" customHeight="1" x14ac:dyDescent="0.2">
      <c r="A58" s="1">
        <v>2023</v>
      </c>
      <c r="B58" s="4">
        <v>1.1200000000000001</v>
      </c>
      <c r="C58" s="4">
        <v>0.4</v>
      </c>
      <c r="D58" s="4">
        <v>0.22</v>
      </c>
      <c r="E58" s="4">
        <v>0</v>
      </c>
      <c r="F58" s="4">
        <v>0.27</v>
      </c>
      <c r="G58" s="4">
        <v>0</v>
      </c>
      <c r="H58" s="4">
        <v>0.43</v>
      </c>
      <c r="I58" s="4">
        <v>1.47</v>
      </c>
      <c r="J58" s="4">
        <v>1.35</v>
      </c>
      <c r="K58" s="4">
        <v>0.33</v>
      </c>
      <c r="L58" s="4">
        <v>0.09</v>
      </c>
      <c r="M58" s="4">
        <v>1.2</v>
      </c>
    </row>
    <row r="59" spans="1:13" ht="15" customHeight="1" x14ac:dyDescent="0.2">
      <c r="A59" s="1">
        <v>2024</v>
      </c>
      <c r="B59" s="1">
        <v>1.79</v>
      </c>
      <c r="C59" s="1">
        <v>1.62</v>
      </c>
      <c r="D59" s="1">
        <v>0.65</v>
      </c>
      <c r="E59" s="1">
        <v>0.15</v>
      </c>
      <c r="F59" s="1">
        <v>0</v>
      </c>
      <c r="G59" s="1">
        <v>0.54</v>
      </c>
      <c r="H59" s="1">
        <v>1.92</v>
      </c>
      <c r="I59" s="1">
        <v>1.26</v>
      </c>
      <c r="J59" s="1">
        <v>0.28999999999999998</v>
      </c>
      <c r="K59" s="1">
        <v>0.03</v>
      </c>
      <c r="L59" s="1">
        <v>0.32</v>
      </c>
      <c r="M59" s="1">
        <v>0</v>
      </c>
    </row>
    <row r="60" spans="1:13" ht="15" customHeight="1" x14ac:dyDescent="0.2">
      <c r="A60" s="2" t="s">
        <v>8</v>
      </c>
      <c r="B60" s="2"/>
      <c r="C60" s="2" t="s">
        <v>2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" customHeight="1" x14ac:dyDescent="0.2">
      <c r="A61" s="2"/>
      <c r="B61" s="5" t="s">
        <v>123</v>
      </c>
      <c r="C61" s="5" t="s">
        <v>124</v>
      </c>
      <c r="D61" s="5" t="s">
        <v>125</v>
      </c>
      <c r="E61" s="5" t="s">
        <v>126</v>
      </c>
      <c r="F61" s="5" t="s">
        <v>127</v>
      </c>
      <c r="G61" s="5" t="s">
        <v>128</v>
      </c>
      <c r="H61" s="5" t="s">
        <v>129</v>
      </c>
      <c r="I61" s="5" t="s">
        <v>130</v>
      </c>
      <c r="J61" s="5" t="s">
        <v>131</v>
      </c>
      <c r="K61" s="5" t="s">
        <v>132</v>
      </c>
      <c r="L61" s="5" t="s">
        <v>133</v>
      </c>
      <c r="M61" s="5" t="s">
        <v>134</v>
      </c>
    </row>
    <row r="62" spans="1:13" ht="15" customHeight="1" x14ac:dyDescent="0.2">
      <c r="A62" s="1">
        <v>1968</v>
      </c>
      <c r="B62" s="9">
        <v>41.9</v>
      </c>
      <c r="C62" s="9">
        <v>49.4</v>
      </c>
      <c r="D62" s="9">
        <v>50.9</v>
      </c>
      <c r="E62" s="9">
        <v>54.8</v>
      </c>
      <c r="F62" s="9">
        <v>63.5</v>
      </c>
      <c r="G62" s="9">
        <v>73.099999999999994</v>
      </c>
      <c r="H62" s="9">
        <v>75.900000000000006</v>
      </c>
      <c r="I62" s="9">
        <v>73.099999999999994</v>
      </c>
      <c r="J62" s="9">
        <v>68.900000000000006</v>
      </c>
      <c r="K62" s="9">
        <v>60.8</v>
      </c>
      <c r="L62" s="9">
        <v>47.6</v>
      </c>
      <c r="M62" s="9">
        <v>38.6</v>
      </c>
    </row>
    <row r="63" spans="1:13" ht="15" customHeight="1" x14ac:dyDescent="0.2">
      <c r="A63" s="1">
        <v>1969</v>
      </c>
      <c r="B63" s="9">
        <v>44.6</v>
      </c>
      <c r="C63" s="9">
        <v>44.2</v>
      </c>
      <c r="D63" s="9">
        <v>46.4</v>
      </c>
      <c r="E63" s="9">
        <v>57.9</v>
      </c>
      <c r="F63" s="9">
        <v>65.599999999999994</v>
      </c>
      <c r="G63" s="9">
        <v>72.2</v>
      </c>
      <c r="H63" s="9">
        <v>79.2</v>
      </c>
      <c r="I63" s="9">
        <v>80.7</v>
      </c>
      <c r="J63" s="9">
        <v>72.099999999999994</v>
      </c>
      <c r="K63" s="9">
        <v>58.1</v>
      </c>
      <c r="L63" s="9">
        <v>47.9</v>
      </c>
      <c r="M63" s="9">
        <v>41.6</v>
      </c>
    </row>
    <row r="64" spans="1:13" ht="15" customHeight="1" x14ac:dyDescent="0.2">
      <c r="A64" s="1">
        <v>1970</v>
      </c>
      <c r="B64" s="9">
        <v>39.299999999999997</v>
      </c>
      <c r="C64" s="9">
        <v>45.7</v>
      </c>
      <c r="D64" s="9">
        <v>48.1</v>
      </c>
      <c r="E64" s="9">
        <v>52.9</v>
      </c>
      <c r="F64" s="9">
        <v>65.3</v>
      </c>
      <c r="G64" s="9">
        <v>73.7</v>
      </c>
      <c r="H64" s="9">
        <v>79.599999999999994</v>
      </c>
      <c r="I64" s="9">
        <v>77.7</v>
      </c>
      <c r="J64" s="9">
        <v>69.8</v>
      </c>
      <c r="K64" s="9">
        <v>55.2</v>
      </c>
      <c r="L64" s="9">
        <v>47.1</v>
      </c>
      <c r="M64" s="9">
        <v>41.6</v>
      </c>
    </row>
    <row r="65" spans="1:13" ht="15" customHeight="1" x14ac:dyDescent="0.2">
      <c r="A65" s="1">
        <v>1971</v>
      </c>
      <c r="B65" s="9">
        <v>41.2</v>
      </c>
      <c r="C65" s="9">
        <v>43.5</v>
      </c>
      <c r="D65" s="9">
        <v>50.2</v>
      </c>
      <c r="E65" s="9">
        <v>56.2</v>
      </c>
      <c r="F65" s="9">
        <v>61</v>
      </c>
      <c r="G65" s="9">
        <v>71.900000000000006</v>
      </c>
      <c r="H65" s="9">
        <v>80.3</v>
      </c>
      <c r="I65" s="9">
        <v>76.099999999999994</v>
      </c>
      <c r="J65" s="9">
        <v>70.900000000000006</v>
      </c>
      <c r="K65" s="9">
        <v>58.2</v>
      </c>
      <c r="L65" s="9">
        <v>48.5</v>
      </c>
      <c r="M65" s="9">
        <v>40.799999999999997</v>
      </c>
    </row>
    <row r="66" spans="1:13" ht="15" customHeight="1" x14ac:dyDescent="0.2">
      <c r="A66" s="1">
        <v>1972</v>
      </c>
      <c r="B66" s="9">
        <v>41.3</v>
      </c>
      <c r="C66" s="9">
        <v>44.8</v>
      </c>
      <c r="D66" s="9">
        <v>55.9</v>
      </c>
      <c r="E66" s="9">
        <v>56.5</v>
      </c>
      <c r="F66" s="9">
        <v>63.9</v>
      </c>
      <c r="G66" s="9">
        <v>73.599999999999994</v>
      </c>
      <c r="H66" s="9">
        <v>79.3</v>
      </c>
      <c r="I66" s="9">
        <v>76.099999999999994</v>
      </c>
      <c r="J66" s="9">
        <v>70.599999999999994</v>
      </c>
      <c r="K66" s="9">
        <v>61.9</v>
      </c>
      <c r="L66" s="9">
        <v>44.9</v>
      </c>
      <c r="M66" s="9">
        <v>41.6</v>
      </c>
    </row>
    <row r="67" spans="1:13" ht="15" customHeight="1" x14ac:dyDescent="0.2">
      <c r="A67" s="1">
        <v>1973</v>
      </c>
      <c r="B67" s="9">
        <v>39.200000000000003</v>
      </c>
      <c r="C67" s="9">
        <v>44.5</v>
      </c>
      <c r="D67" s="9">
        <v>47.2</v>
      </c>
      <c r="E67" s="9">
        <v>53</v>
      </c>
      <c r="F67" s="9">
        <v>65.3</v>
      </c>
      <c r="G67" s="9">
        <v>73.099999999999994</v>
      </c>
      <c r="H67" s="9">
        <v>78.2</v>
      </c>
      <c r="I67" s="9">
        <v>77.400000000000006</v>
      </c>
      <c r="J67" s="9">
        <v>70.3</v>
      </c>
      <c r="K67" s="9">
        <v>60.4</v>
      </c>
      <c r="L67" s="9">
        <v>48.3</v>
      </c>
      <c r="M67" s="9">
        <v>39.700000000000003</v>
      </c>
    </row>
    <row r="68" spans="1:13" ht="15" customHeight="1" x14ac:dyDescent="0.2">
      <c r="A68" s="1">
        <v>1974</v>
      </c>
      <c r="B68" s="9">
        <v>42.6</v>
      </c>
      <c r="C68" s="9">
        <v>41.2</v>
      </c>
      <c r="D68" s="9">
        <v>52.7</v>
      </c>
      <c r="E68" s="9">
        <v>57</v>
      </c>
      <c r="F68" s="9">
        <v>65.8</v>
      </c>
      <c r="G68" s="9">
        <v>77.7</v>
      </c>
      <c r="H68" s="9">
        <v>77</v>
      </c>
      <c r="I68" s="9">
        <v>74.400000000000006</v>
      </c>
      <c r="J68" s="9">
        <v>69</v>
      </c>
      <c r="K68" s="9">
        <v>60</v>
      </c>
      <c r="L68" s="9">
        <v>47</v>
      </c>
      <c r="M68" s="9">
        <v>37.299999999999997</v>
      </c>
    </row>
    <row r="69" spans="1:13" ht="15" customHeight="1" x14ac:dyDescent="0.2">
      <c r="A69" s="1">
        <v>1975</v>
      </c>
      <c r="B69" s="9">
        <v>40.700000000000003</v>
      </c>
      <c r="C69" s="9">
        <v>43.5</v>
      </c>
      <c r="D69" s="9">
        <v>49.3</v>
      </c>
      <c r="E69" s="9">
        <v>52.6</v>
      </c>
      <c r="F69" s="9">
        <v>62.6</v>
      </c>
      <c r="G69" s="9">
        <v>72.2</v>
      </c>
      <c r="H69" s="9">
        <v>77.900000000000006</v>
      </c>
      <c r="I69" s="9">
        <v>78.900000000000006</v>
      </c>
      <c r="J69" s="9">
        <v>69.599999999999994</v>
      </c>
      <c r="K69" s="9">
        <v>58.5</v>
      </c>
      <c r="L69" s="9">
        <v>47.7</v>
      </c>
      <c r="M69" s="9">
        <v>43.1</v>
      </c>
    </row>
    <row r="70" spans="1:13" ht="15" customHeight="1" x14ac:dyDescent="0.2">
      <c r="A70" s="1">
        <v>1976</v>
      </c>
      <c r="B70" s="9">
        <v>40.799999999999997</v>
      </c>
      <c r="C70" s="9">
        <v>49</v>
      </c>
      <c r="D70" s="9">
        <v>50</v>
      </c>
      <c r="E70" s="9">
        <v>56.8</v>
      </c>
      <c r="F70" s="9">
        <v>64.900000000000006</v>
      </c>
      <c r="G70" s="9">
        <v>73.7</v>
      </c>
      <c r="H70" s="9">
        <v>77.599999999999994</v>
      </c>
      <c r="I70" s="9">
        <v>77.7</v>
      </c>
      <c r="J70" s="9">
        <v>70</v>
      </c>
      <c r="K70" s="9">
        <v>56.5</v>
      </c>
      <c r="L70" s="9">
        <v>46.9</v>
      </c>
      <c r="M70" s="9">
        <v>38.9</v>
      </c>
    </row>
    <row r="71" spans="1:13" ht="15" customHeight="1" x14ac:dyDescent="0.2">
      <c r="A71" s="1">
        <v>1977</v>
      </c>
      <c r="B71" s="9">
        <v>41.7</v>
      </c>
      <c r="C71" s="9">
        <v>47.5</v>
      </c>
      <c r="D71" s="9">
        <v>46.5</v>
      </c>
      <c r="E71" s="9">
        <v>58.4</v>
      </c>
      <c r="F71" s="9">
        <v>63.2</v>
      </c>
      <c r="G71" s="9">
        <v>75.099999999999994</v>
      </c>
      <c r="H71" s="9">
        <v>79.900000000000006</v>
      </c>
      <c r="I71" s="9">
        <v>78.3</v>
      </c>
      <c r="J71" s="9">
        <v>72.400000000000006</v>
      </c>
      <c r="K71" s="9">
        <v>62.5</v>
      </c>
      <c r="L71" s="9">
        <v>50.1</v>
      </c>
      <c r="M71" s="9">
        <v>44.2</v>
      </c>
    </row>
    <row r="72" spans="1:13" ht="15" customHeight="1" x14ac:dyDescent="0.2">
      <c r="A72" s="1">
        <v>1978</v>
      </c>
      <c r="B72" s="9">
        <v>43.5</v>
      </c>
      <c r="C72" s="9">
        <v>45.2</v>
      </c>
      <c r="D72" s="9">
        <v>53.5</v>
      </c>
      <c r="E72" s="9">
        <v>57.6</v>
      </c>
      <c r="F72" s="9">
        <v>64.400000000000006</v>
      </c>
      <c r="G72" s="9">
        <v>75.099999999999994</v>
      </c>
      <c r="H72" s="9">
        <v>80.599999999999994</v>
      </c>
      <c r="I72" s="9">
        <v>76.099999999999994</v>
      </c>
      <c r="J72" s="9">
        <v>70.599999999999994</v>
      </c>
      <c r="K72" s="9">
        <v>62.8</v>
      </c>
      <c r="L72" s="9">
        <v>51.4</v>
      </c>
      <c r="M72" s="9">
        <v>39.5</v>
      </c>
    </row>
    <row r="73" spans="1:13" ht="15" customHeight="1" x14ac:dyDescent="0.2">
      <c r="A73" s="1">
        <v>1979</v>
      </c>
      <c r="B73" s="9">
        <v>39.9</v>
      </c>
      <c r="C73" s="9">
        <v>46.1</v>
      </c>
      <c r="D73" s="9">
        <v>50.2</v>
      </c>
      <c r="E73" s="9">
        <v>57.5</v>
      </c>
      <c r="F73" s="9">
        <v>65.099999999999994</v>
      </c>
      <c r="G73" s="9">
        <v>74.400000000000006</v>
      </c>
      <c r="H73" s="9">
        <v>79.599999999999994</v>
      </c>
      <c r="I73" s="9">
        <v>74.8</v>
      </c>
      <c r="J73" s="9">
        <v>74.3</v>
      </c>
      <c r="K73" s="9">
        <v>61.9</v>
      </c>
      <c r="L73" s="9">
        <v>45</v>
      </c>
      <c r="M73" s="9">
        <v>42.9</v>
      </c>
    </row>
    <row r="74" spans="1:13" ht="15" customHeight="1" x14ac:dyDescent="0.2">
      <c r="A74" s="1">
        <v>1980</v>
      </c>
      <c r="B74" s="9">
        <v>44.4</v>
      </c>
      <c r="C74" s="9">
        <v>48</v>
      </c>
      <c r="D74" s="9">
        <v>49.3</v>
      </c>
      <c r="E74" s="9">
        <v>57.6</v>
      </c>
      <c r="F74" s="9">
        <v>63.3</v>
      </c>
      <c r="G74" s="9">
        <v>77</v>
      </c>
      <c r="H74" s="9">
        <v>82.7</v>
      </c>
      <c r="I74" s="9">
        <v>77.7</v>
      </c>
      <c r="J74" s="9">
        <v>72</v>
      </c>
      <c r="K74" s="9">
        <v>57.8</v>
      </c>
      <c r="L74" s="9">
        <v>47.7</v>
      </c>
      <c r="M74" s="9">
        <v>45.6</v>
      </c>
    </row>
    <row r="75" spans="1:13" ht="15" customHeight="1" x14ac:dyDescent="0.2">
      <c r="A75" s="1">
        <v>1981</v>
      </c>
      <c r="B75" s="9">
        <v>45.1</v>
      </c>
      <c r="C75" s="9">
        <v>48</v>
      </c>
      <c r="D75" s="9">
        <v>50.1</v>
      </c>
      <c r="E75" s="9">
        <v>61.6</v>
      </c>
      <c r="F75" s="9">
        <v>66.2</v>
      </c>
      <c r="G75" s="9">
        <v>77.2</v>
      </c>
      <c r="H75" s="9">
        <v>80.400000000000006</v>
      </c>
      <c r="I75" s="9">
        <v>77.900000000000006</v>
      </c>
      <c r="J75" s="9">
        <v>72.599999999999994</v>
      </c>
      <c r="K75" s="9">
        <v>59.9</v>
      </c>
      <c r="L75" s="9">
        <v>50.3</v>
      </c>
      <c r="M75" s="9">
        <v>44.4</v>
      </c>
    </row>
    <row r="76" spans="1:13" ht="15" customHeight="1" x14ac:dyDescent="0.2">
      <c r="A76" s="1">
        <v>1982</v>
      </c>
      <c r="B76" s="9">
        <v>42.1</v>
      </c>
      <c r="C76" s="9">
        <v>47.3</v>
      </c>
      <c r="D76" s="9">
        <v>50.8</v>
      </c>
      <c r="E76" s="9">
        <v>57.7</v>
      </c>
      <c r="F76" s="9">
        <v>64</v>
      </c>
      <c r="G76" s="9">
        <v>70.8</v>
      </c>
      <c r="H76" s="9">
        <v>79.3</v>
      </c>
      <c r="I76" s="9">
        <v>78.599999999999994</v>
      </c>
      <c r="J76" s="9">
        <v>72.5</v>
      </c>
      <c r="K76" s="9">
        <v>57.6</v>
      </c>
      <c r="L76" s="9">
        <v>47.8</v>
      </c>
      <c r="M76" s="9">
        <v>41.4</v>
      </c>
    </row>
    <row r="77" spans="1:13" ht="15" customHeight="1" x14ac:dyDescent="0.2">
      <c r="A77" s="1">
        <v>1983</v>
      </c>
      <c r="B77" s="9">
        <v>42.3</v>
      </c>
      <c r="C77" s="9">
        <v>45.7</v>
      </c>
      <c r="D77" s="9">
        <v>49.8</v>
      </c>
      <c r="E77" s="9">
        <v>51.6</v>
      </c>
      <c r="F77" s="9">
        <v>63.4</v>
      </c>
      <c r="G77" s="9">
        <v>70.7</v>
      </c>
      <c r="H77" s="9">
        <v>78.3</v>
      </c>
      <c r="I77" s="9">
        <v>78.5</v>
      </c>
      <c r="J77" s="9">
        <v>75.400000000000006</v>
      </c>
      <c r="K77" s="9">
        <v>61.8</v>
      </c>
      <c r="L77" s="9">
        <v>48.5</v>
      </c>
      <c r="M77" s="9">
        <v>42.2</v>
      </c>
    </row>
    <row r="78" spans="1:13" ht="15" customHeight="1" x14ac:dyDescent="0.2">
      <c r="A78" s="1">
        <v>1984</v>
      </c>
      <c r="B78" s="9">
        <v>42.5</v>
      </c>
      <c r="C78" s="9">
        <v>42.9</v>
      </c>
      <c r="D78" s="9">
        <v>50.1</v>
      </c>
      <c r="E78" s="9">
        <v>55.3</v>
      </c>
      <c r="F78" s="9">
        <v>69.3</v>
      </c>
      <c r="G78" s="9">
        <v>74.900000000000006</v>
      </c>
      <c r="H78" s="9">
        <v>79.2</v>
      </c>
      <c r="I78" s="9">
        <v>75.900000000000006</v>
      </c>
      <c r="J78" s="9">
        <v>72.400000000000006</v>
      </c>
      <c r="K78" s="9">
        <v>57.9</v>
      </c>
      <c r="L78" s="9">
        <v>47.7</v>
      </c>
      <c r="M78" s="9">
        <v>44.3</v>
      </c>
    </row>
    <row r="79" spans="1:13" ht="15" customHeight="1" x14ac:dyDescent="0.2">
      <c r="A79" s="1">
        <v>1985</v>
      </c>
      <c r="B79" s="9">
        <v>40.1</v>
      </c>
      <c r="C79" s="9">
        <v>44.2</v>
      </c>
      <c r="D79" s="9">
        <v>52.2</v>
      </c>
      <c r="E79" s="9">
        <v>59.5</v>
      </c>
      <c r="F79" s="9">
        <v>66.599999999999994</v>
      </c>
      <c r="G79" s="9">
        <v>76.5</v>
      </c>
      <c r="H79" s="9">
        <v>79.8</v>
      </c>
      <c r="I79" s="9">
        <v>77.400000000000006</v>
      </c>
      <c r="J79" s="9">
        <v>68.7</v>
      </c>
      <c r="K79" s="9">
        <v>60.4</v>
      </c>
      <c r="L79" s="9">
        <v>49.1</v>
      </c>
      <c r="M79" s="9">
        <v>42.9</v>
      </c>
    </row>
    <row r="80" spans="1:13" ht="15" customHeight="1" x14ac:dyDescent="0.2">
      <c r="A80" s="1">
        <v>1986</v>
      </c>
      <c r="B80" s="9">
        <v>44.9</v>
      </c>
      <c r="C80" s="9">
        <v>47.7</v>
      </c>
      <c r="D80" s="9">
        <v>54</v>
      </c>
      <c r="E80" s="9">
        <v>58.4</v>
      </c>
      <c r="F80" s="9">
        <v>64.599999999999994</v>
      </c>
      <c r="G80" s="9">
        <v>74.8</v>
      </c>
      <c r="H80" s="9">
        <v>76.099999999999994</v>
      </c>
      <c r="I80" s="9">
        <v>77.8</v>
      </c>
      <c r="J80" s="9">
        <v>68</v>
      </c>
      <c r="K80" s="9">
        <v>58.7</v>
      </c>
      <c r="L80" s="9">
        <v>48.7</v>
      </c>
      <c r="M80" s="9">
        <v>42.7</v>
      </c>
    </row>
    <row r="81" spans="1:13" ht="15" customHeight="1" x14ac:dyDescent="0.2">
      <c r="A81" s="1">
        <v>1987</v>
      </c>
      <c r="B81" s="9">
        <v>41.6</v>
      </c>
      <c r="C81" s="9">
        <v>43.9</v>
      </c>
      <c r="D81" s="9">
        <v>49</v>
      </c>
      <c r="E81" s="9">
        <v>59.7</v>
      </c>
      <c r="F81" s="9">
        <v>64.900000000000006</v>
      </c>
      <c r="G81" s="9">
        <v>74.599999999999994</v>
      </c>
      <c r="H81" s="9">
        <v>76.900000000000006</v>
      </c>
      <c r="I81" s="9">
        <v>76.3</v>
      </c>
      <c r="J81" s="9">
        <v>69.599999999999994</v>
      </c>
      <c r="K81" s="9">
        <v>65.400000000000006</v>
      </c>
      <c r="L81" s="9">
        <v>48.5</v>
      </c>
      <c r="M81" s="9">
        <v>41.2</v>
      </c>
    </row>
    <row r="82" spans="1:13" ht="15" customHeight="1" x14ac:dyDescent="0.2">
      <c r="A82" s="1">
        <v>1988</v>
      </c>
      <c r="B82" s="9">
        <v>40.9</v>
      </c>
      <c r="C82" s="9">
        <v>47.8</v>
      </c>
      <c r="D82" s="9">
        <v>50.3</v>
      </c>
      <c r="E82" s="9">
        <v>57.9</v>
      </c>
      <c r="F82" s="9">
        <v>66</v>
      </c>
      <c r="G82" s="9">
        <v>76.400000000000006</v>
      </c>
      <c r="H82" s="9">
        <v>80.2</v>
      </c>
      <c r="I82" s="9">
        <v>77.400000000000006</v>
      </c>
      <c r="J82" s="9">
        <v>69.8</v>
      </c>
      <c r="K82" s="9">
        <v>64.400000000000006</v>
      </c>
      <c r="L82" s="9">
        <v>48.5</v>
      </c>
      <c r="M82" s="9">
        <v>40.200000000000003</v>
      </c>
    </row>
    <row r="83" spans="1:13" ht="15" customHeight="1" x14ac:dyDescent="0.2">
      <c r="A83" s="1">
        <v>1989</v>
      </c>
      <c r="B83" s="9">
        <v>41.9</v>
      </c>
      <c r="C83" s="9">
        <v>47.2</v>
      </c>
      <c r="D83" s="9">
        <v>53.6</v>
      </c>
      <c r="E83" s="9">
        <v>61.3</v>
      </c>
      <c r="F83" s="9">
        <v>66.2</v>
      </c>
      <c r="G83" s="9">
        <v>73</v>
      </c>
      <c r="H83" s="9">
        <v>78.599999999999994</v>
      </c>
      <c r="I83" s="9">
        <v>75.7</v>
      </c>
      <c r="J83" s="9">
        <v>70.900000000000006</v>
      </c>
      <c r="K83" s="9">
        <v>58.9</v>
      </c>
      <c r="L83" s="9">
        <v>48.9</v>
      </c>
      <c r="M83" s="9">
        <v>38.799999999999997</v>
      </c>
    </row>
    <row r="84" spans="1:13" ht="15" customHeight="1" x14ac:dyDescent="0.2">
      <c r="A84" s="1">
        <v>1990</v>
      </c>
      <c r="B84" s="9">
        <v>40.5</v>
      </c>
      <c r="C84" s="9">
        <v>43.9</v>
      </c>
      <c r="D84" s="9">
        <v>52.1</v>
      </c>
      <c r="E84" s="9">
        <v>59.8</v>
      </c>
      <c r="F84" s="9">
        <v>63.5</v>
      </c>
      <c r="G84" s="9">
        <v>77.7</v>
      </c>
      <c r="H84" s="9">
        <v>77</v>
      </c>
      <c r="I84" s="9">
        <v>72.7</v>
      </c>
      <c r="J84" s="9">
        <v>72</v>
      </c>
      <c r="K84" s="9">
        <v>59</v>
      </c>
      <c r="L84" s="9">
        <v>49.9</v>
      </c>
      <c r="M84" s="9">
        <v>38.799999999999997</v>
      </c>
    </row>
    <row r="85" spans="1:13" ht="15" customHeight="1" x14ac:dyDescent="0.2">
      <c r="A85" s="1">
        <v>1991</v>
      </c>
      <c r="B85" s="9">
        <v>41.1</v>
      </c>
      <c r="C85" s="9">
        <v>47.7</v>
      </c>
      <c r="D85" s="9">
        <v>47.7</v>
      </c>
      <c r="E85" s="9">
        <v>55</v>
      </c>
      <c r="F85" s="9">
        <v>62.2</v>
      </c>
      <c r="G85" s="9">
        <v>69.7</v>
      </c>
      <c r="H85" s="9">
        <v>76.5</v>
      </c>
      <c r="I85" s="9">
        <v>76.400000000000006</v>
      </c>
      <c r="J85" s="9">
        <v>69.2</v>
      </c>
      <c r="K85" s="9">
        <v>60.2</v>
      </c>
      <c r="L85" s="9">
        <v>46.1</v>
      </c>
      <c r="M85" s="9">
        <v>43.2</v>
      </c>
    </row>
    <row r="86" spans="1:13" ht="15" customHeight="1" x14ac:dyDescent="0.2">
      <c r="A86" s="1">
        <v>1992</v>
      </c>
      <c r="B86" s="9">
        <v>39.700000000000003</v>
      </c>
      <c r="C86" s="9">
        <v>46.2</v>
      </c>
      <c r="D86" s="9">
        <v>50.7</v>
      </c>
      <c r="E86" s="9">
        <v>58.6</v>
      </c>
      <c r="F86" s="9">
        <v>65.099999999999994</v>
      </c>
      <c r="G86" s="9">
        <v>70.099999999999994</v>
      </c>
      <c r="H86" s="9">
        <v>76.3</v>
      </c>
      <c r="I86" s="9">
        <v>75.400000000000006</v>
      </c>
      <c r="J86" s="9">
        <v>70.400000000000006</v>
      </c>
      <c r="K86" s="9">
        <v>61.1</v>
      </c>
      <c r="L86" s="9">
        <v>43.7</v>
      </c>
      <c r="M86" s="9">
        <v>42.1</v>
      </c>
    </row>
    <row r="87" spans="1:13" ht="15" customHeight="1" x14ac:dyDescent="0.2">
      <c r="A87" s="1">
        <v>1993</v>
      </c>
      <c r="B87" s="9">
        <v>45.1</v>
      </c>
      <c r="C87" s="9">
        <v>45.2</v>
      </c>
      <c r="D87" s="9">
        <v>51.1</v>
      </c>
      <c r="E87" s="9">
        <v>56.5</v>
      </c>
      <c r="F87" s="9">
        <v>65.8</v>
      </c>
      <c r="G87" s="9">
        <v>73.099999999999994</v>
      </c>
      <c r="H87" s="9">
        <v>77.2</v>
      </c>
      <c r="I87" s="9">
        <v>77</v>
      </c>
      <c r="J87" s="9">
        <v>69.900000000000006</v>
      </c>
      <c r="K87" s="9">
        <v>58.6</v>
      </c>
      <c r="L87" s="9">
        <v>46.2</v>
      </c>
      <c r="M87" s="9">
        <v>41.6</v>
      </c>
    </row>
    <row r="88" spans="1:13" ht="15" customHeight="1" x14ac:dyDescent="0.2">
      <c r="A88" s="1">
        <v>1994</v>
      </c>
      <c r="B88" s="9">
        <v>40.9</v>
      </c>
      <c r="C88" s="9">
        <v>44.3</v>
      </c>
      <c r="D88" s="9">
        <v>52.6</v>
      </c>
      <c r="E88" s="9">
        <v>57.5</v>
      </c>
      <c r="F88" s="9">
        <v>64.8</v>
      </c>
      <c r="G88" s="9">
        <v>77.7</v>
      </c>
      <c r="H88" s="9">
        <v>78.099999999999994</v>
      </c>
      <c r="I88" s="9">
        <v>78.8</v>
      </c>
      <c r="J88" s="9">
        <v>71.099999999999994</v>
      </c>
      <c r="K88" s="9">
        <v>58.1</v>
      </c>
      <c r="L88" s="9">
        <v>47.3</v>
      </c>
      <c r="M88" s="9">
        <v>44.3</v>
      </c>
    </row>
    <row r="89" spans="1:13" ht="15" customHeight="1" x14ac:dyDescent="0.2">
      <c r="A89" s="1">
        <v>1995</v>
      </c>
      <c r="B89" s="9">
        <v>41.5</v>
      </c>
      <c r="C89" s="9">
        <v>49.4</v>
      </c>
      <c r="D89" s="9">
        <v>50.4</v>
      </c>
      <c r="E89" s="9">
        <v>52.9</v>
      </c>
      <c r="F89" s="9">
        <v>61</v>
      </c>
      <c r="G89" s="9">
        <v>70.2</v>
      </c>
      <c r="H89" s="9">
        <v>77.099999999999994</v>
      </c>
      <c r="I89" s="9">
        <v>79.3</v>
      </c>
      <c r="J89" s="9">
        <v>71.5</v>
      </c>
      <c r="K89" s="9">
        <v>59.6</v>
      </c>
      <c r="L89" s="9">
        <v>51.7</v>
      </c>
      <c r="M89" s="9">
        <v>42.6</v>
      </c>
    </row>
    <row r="90" spans="1:13" ht="15" customHeight="1" x14ac:dyDescent="0.2">
      <c r="A90" s="1">
        <v>1996</v>
      </c>
      <c r="B90" s="9">
        <v>41.1</v>
      </c>
      <c r="C90" s="9">
        <v>50.5</v>
      </c>
      <c r="D90" s="9">
        <v>49.2</v>
      </c>
      <c r="E90" s="9">
        <v>58</v>
      </c>
      <c r="F90" s="9">
        <v>66.8</v>
      </c>
      <c r="G90" s="9">
        <v>76.5</v>
      </c>
      <c r="H90" s="9">
        <v>80.3</v>
      </c>
      <c r="I90" s="9">
        <v>77.099999999999994</v>
      </c>
      <c r="J90" s="9">
        <v>68.2</v>
      </c>
      <c r="K90" s="9">
        <v>59.1</v>
      </c>
      <c r="L90" s="9">
        <v>49.9</v>
      </c>
      <c r="M90" s="9">
        <v>41.3</v>
      </c>
    </row>
    <row r="91" spans="1:13" ht="15" customHeight="1" x14ac:dyDescent="0.2">
      <c r="A91" s="1">
        <v>1997</v>
      </c>
      <c r="B91" s="9">
        <v>42.1</v>
      </c>
      <c r="C91" s="9">
        <v>44.4</v>
      </c>
      <c r="D91" s="9">
        <v>52.9</v>
      </c>
      <c r="E91" s="9">
        <v>55.9</v>
      </c>
      <c r="F91" s="9">
        <v>67.900000000000006</v>
      </c>
      <c r="G91" s="9">
        <v>71</v>
      </c>
      <c r="H91" s="9">
        <v>77.8</v>
      </c>
      <c r="I91" s="9">
        <v>77.3</v>
      </c>
      <c r="J91" s="9">
        <v>75.8</v>
      </c>
      <c r="K91" s="9">
        <v>58.8</v>
      </c>
      <c r="L91" s="9">
        <v>49.1</v>
      </c>
      <c r="M91" s="9">
        <v>39.5</v>
      </c>
    </row>
    <row r="92" spans="1:13" ht="15" customHeight="1" x14ac:dyDescent="0.2">
      <c r="A92" s="1">
        <v>1998</v>
      </c>
      <c r="B92" s="9">
        <v>41.3</v>
      </c>
      <c r="C92" s="9">
        <v>42.2</v>
      </c>
      <c r="D92" s="9">
        <v>48.7</v>
      </c>
      <c r="E92" s="9">
        <v>52.6</v>
      </c>
      <c r="F92" s="9">
        <v>62.8</v>
      </c>
      <c r="G92" s="9">
        <v>70.7</v>
      </c>
      <c r="H92" s="9">
        <v>79.7</v>
      </c>
      <c r="I92" s="9">
        <v>78.099999999999994</v>
      </c>
      <c r="J92" s="9">
        <v>74.099999999999994</v>
      </c>
      <c r="K92" s="9">
        <v>60.9</v>
      </c>
      <c r="L92" s="9">
        <v>50.5</v>
      </c>
      <c r="M92" s="9">
        <v>43.1</v>
      </c>
    </row>
    <row r="93" spans="1:13" ht="15" customHeight="1" x14ac:dyDescent="0.2">
      <c r="A93" s="1">
        <v>1999</v>
      </c>
      <c r="B93" s="9">
        <v>43.2</v>
      </c>
      <c r="C93" s="9">
        <v>45.7</v>
      </c>
      <c r="D93" s="9">
        <v>51.8</v>
      </c>
      <c r="E93" s="9">
        <v>54.7</v>
      </c>
      <c r="F93" s="9">
        <v>64.8</v>
      </c>
      <c r="G93" s="9">
        <v>72.599999999999994</v>
      </c>
      <c r="H93" s="9">
        <v>77.2</v>
      </c>
      <c r="I93" s="9">
        <v>76.099999999999994</v>
      </c>
      <c r="J93" s="9">
        <v>72</v>
      </c>
      <c r="K93" s="9">
        <v>60.7</v>
      </c>
      <c r="L93" s="9">
        <v>52.4</v>
      </c>
      <c r="M93" s="9">
        <v>38.9</v>
      </c>
    </row>
    <row r="94" spans="1:13" ht="15" customHeight="1" x14ac:dyDescent="0.2">
      <c r="A94" s="1">
        <v>2000</v>
      </c>
      <c r="B94" s="9">
        <v>43</v>
      </c>
      <c r="C94" s="9">
        <v>47.1</v>
      </c>
      <c r="D94" s="9">
        <v>51</v>
      </c>
      <c r="E94" s="9">
        <v>60.7</v>
      </c>
      <c r="F94" s="9">
        <v>68.8</v>
      </c>
      <c r="G94" s="9">
        <v>76.3</v>
      </c>
      <c r="H94" s="9">
        <v>79.8</v>
      </c>
      <c r="I94" s="9">
        <v>76.900000000000006</v>
      </c>
      <c r="J94" s="9">
        <v>73.400000000000006</v>
      </c>
      <c r="K94" s="9">
        <v>60.1</v>
      </c>
      <c r="L94" s="9">
        <v>52.3</v>
      </c>
      <c r="M94" s="9">
        <v>38.9</v>
      </c>
    </row>
    <row r="95" spans="1:13" ht="15" customHeight="1" x14ac:dyDescent="0.2">
      <c r="A95" s="1">
        <v>2001</v>
      </c>
      <c r="B95" s="9">
        <v>39.799999999999997</v>
      </c>
      <c r="C95" s="9">
        <v>44.6</v>
      </c>
      <c r="D95" s="9">
        <v>49.9</v>
      </c>
      <c r="E95" s="9">
        <v>58.2</v>
      </c>
      <c r="F95" s="9">
        <v>67.8</v>
      </c>
      <c r="G95" s="9">
        <v>75.599999999999994</v>
      </c>
      <c r="H95" s="9">
        <v>79.900000000000006</v>
      </c>
      <c r="I95" s="9">
        <v>76.8</v>
      </c>
      <c r="J95" s="9">
        <v>72.5</v>
      </c>
      <c r="K95" s="9">
        <v>62</v>
      </c>
      <c r="L95" s="9">
        <v>52.3</v>
      </c>
      <c r="M95" s="9">
        <v>40.200000000000003</v>
      </c>
    </row>
    <row r="96" spans="1:13" ht="15" customHeight="1" x14ac:dyDescent="0.2">
      <c r="A96" s="1">
        <v>2002</v>
      </c>
      <c r="B96" s="9">
        <v>41.2</v>
      </c>
      <c r="C96" s="9">
        <v>44.1</v>
      </c>
      <c r="D96" s="9">
        <v>48.3</v>
      </c>
      <c r="E96" s="9">
        <v>61.6</v>
      </c>
      <c r="F96" s="9">
        <v>64</v>
      </c>
      <c r="G96" s="9">
        <v>76.400000000000006</v>
      </c>
      <c r="H96" s="9">
        <v>79.599999999999994</v>
      </c>
      <c r="I96" s="9">
        <v>76.5</v>
      </c>
      <c r="J96" s="9">
        <v>72.400000000000006</v>
      </c>
      <c r="K96" s="9">
        <v>59.9</v>
      </c>
      <c r="L96" s="9">
        <v>49.3</v>
      </c>
      <c r="M96" s="9">
        <v>41</v>
      </c>
    </row>
    <row r="97" spans="1:13" ht="15" customHeight="1" x14ac:dyDescent="0.2">
      <c r="A97" s="1">
        <v>2003</v>
      </c>
      <c r="B97" s="9">
        <v>47.1</v>
      </c>
      <c r="C97" s="9">
        <v>45.5</v>
      </c>
      <c r="D97" s="9">
        <v>49.6</v>
      </c>
      <c r="E97" s="9">
        <v>55.9</v>
      </c>
      <c r="F97" s="9">
        <v>66.2</v>
      </c>
      <c r="G97" s="9">
        <v>73.400000000000006</v>
      </c>
      <c r="H97" s="9">
        <v>81.7</v>
      </c>
      <c r="I97" s="9">
        <v>79.599999999999994</v>
      </c>
      <c r="J97" s="9">
        <v>73.900000000000006</v>
      </c>
      <c r="K97" s="9">
        <v>65</v>
      </c>
      <c r="L97" s="9">
        <v>49.3</v>
      </c>
      <c r="M97" s="9">
        <v>40.799999999999997</v>
      </c>
    </row>
    <row r="98" spans="1:13" ht="15" customHeight="1" x14ac:dyDescent="0.2">
      <c r="A98" s="1">
        <v>2004</v>
      </c>
      <c r="B98" s="9">
        <v>43.6</v>
      </c>
      <c r="C98" s="9">
        <v>42.9</v>
      </c>
      <c r="D98" s="9">
        <v>56.2</v>
      </c>
      <c r="E98" s="9">
        <v>57.2</v>
      </c>
      <c r="F98" s="9">
        <v>65.599999999999994</v>
      </c>
      <c r="G98" s="9">
        <v>72.2</v>
      </c>
      <c r="H98" s="9">
        <v>77.5</v>
      </c>
      <c r="I98" s="9">
        <v>75.3</v>
      </c>
      <c r="J98" s="9">
        <v>68.900000000000006</v>
      </c>
      <c r="K98" s="9">
        <v>59.4</v>
      </c>
      <c r="L98" s="9">
        <v>47</v>
      </c>
      <c r="M98" s="9">
        <v>40.4</v>
      </c>
    </row>
    <row r="99" spans="1:13" ht="15" customHeight="1" x14ac:dyDescent="0.2">
      <c r="A99" s="1">
        <v>2005</v>
      </c>
      <c r="B99" s="9">
        <v>45.5</v>
      </c>
      <c r="C99" s="9">
        <v>47</v>
      </c>
      <c r="D99" s="9">
        <v>49.8</v>
      </c>
      <c r="E99" s="9">
        <v>56.6</v>
      </c>
      <c r="F99" s="9">
        <v>66.5</v>
      </c>
      <c r="G99" s="9">
        <v>73.3</v>
      </c>
      <c r="H99" s="9">
        <v>79.900000000000006</v>
      </c>
      <c r="I99" s="9">
        <v>77</v>
      </c>
      <c r="J99" s="9">
        <v>72.8</v>
      </c>
      <c r="K99" s="9">
        <v>61.5</v>
      </c>
      <c r="L99" s="9">
        <v>50.5</v>
      </c>
      <c r="M99" s="9">
        <v>42.21</v>
      </c>
    </row>
    <row r="100" spans="1:13" ht="15" customHeight="1" x14ac:dyDescent="0.2">
      <c r="A100" s="1">
        <v>2006</v>
      </c>
      <c r="B100" s="9">
        <v>41.9</v>
      </c>
      <c r="C100" s="9">
        <v>46.4</v>
      </c>
      <c r="D100" s="9">
        <v>50.2</v>
      </c>
      <c r="E100" s="9">
        <v>59.5</v>
      </c>
      <c r="F100" s="9">
        <v>67.5</v>
      </c>
      <c r="G100" s="9">
        <v>77.3</v>
      </c>
      <c r="H100" s="9">
        <v>79.5</v>
      </c>
      <c r="I100" s="9">
        <v>74.7</v>
      </c>
      <c r="J100" s="9">
        <v>66.900000000000006</v>
      </c>
      <c r="K100" s="9">
        <v>59.7</v>
      </c>
      <c r="L100" s="9">
        <v>50.2</v>
      </c>
      <c r="M100" s="9">
        <v>39.799999999999997</v>
      </c>
    </row>
    <row r="101" spans="1:13" ht="15" customHeight="1" x14ac:dyDescent="0.2">
      <c r="A101" s="1">
        <v>2007</v>
      </c>
      <c r="B101" s="9">
        <v>38.9</v>
      </c>
      <c r="C101" s="9">
        <v>44.8</v>
      </c>
      <c r="D101" s="9">
        <v>51.9</v>
      </c>
      <c r="E101" s="9">
        <v>57.9</v>
      </c>
      <c r="F101" s="9">
        <v>65.2</v>
      </c>
      <c r="G101" s="9">
        <v>74.2</v>
      </c>
      <c r="H101" s="9">
        <v>78.400000000000006</v>
      </c>
      <c r="I101" s="9">
        <v>78.3</v>
      </c>
      <c r="J101" s="9">
        <v>72.2</v>
      </c>
      <c r="K101" s="9">
        <v>60.9</v>
      </c>
      <c r="L101" s="9">
        <v>52.6</v>
      </c>
      <c r="M101" s="9">
        <v>40.299999999999997</v>
      </c>
    </row>
    <row r="102" spans="1:13" ht="15" customHeight="1" x14ac:dyDescent="0.2">
      <c r="A102" s="1">
        <v>2008</v>
      </c>
      <c r="B102" s="9">
        <v>40.5</v>
      </c>
      <c r="C102" s="9">
        <v>46.1</v>
      </c>
      <c r="D102" s="9">
        <v>49.3</v>
      </c>
      <c r="E102" s="9">
        <v>55.8</v>
      </c>
      <c r="F102" s="9">
        <v>63.6</v>
      </c>
      <c r="G102" s="9">
        <v>74.099999999999994</v>
      </c>
      <c r="H102" s="9">
        <v>76.5</v>
      </c>
      <c r="I102" s="9">
        <v>75.599999999999994</v>
      </c>
      <c r="J102" s="9">
        <v>69.5</v>
      </c>
      <c r="K102" s="9">
        <v>60.2</v>
      </c>
      <c r="L102" s="9">
        <v>49.3</v>
      </c>
      <c r="M102" s="9">
        <v>42.7</v>
      </c>
    </row>
    <row r="103" spans="1:13" ht="15" customHeight="1" x14ac:dyDescent="0.2">
      <c r="A103" s="1">
        <v>2009</v>
      </c>
      <c r="B103" s="9">
        <v>43.2</v>
      </c>
      <c r="C103" s="9">
        <v>45.8</v>
      </c>
      <c r="D103" s="9">
        <v>51.6</v>
      </c>
      <c r="E103" s="9">
        <v>55.6</v>
      </c>
      <c r="F103" s="9">
        <v>67.099999999999994</v>
      </c>
      <c r="G103" s="9">
        <v>71.400000000000006</v>
      </c>
      <c r="H103" s="9">
        <v>80.7</v>
      </c>
      <c r="I103" s="9">
        <v>76</v>
      </c>
      <c r="J103" s="9">
        <v>71</v>
      </c>
      <c r="K103" s="9">
        <v>58.7</v>
      </c>
      <c r="L103" s="9">
        <v>50.9</v>
      </c>
      <c r="M103" s="9">
        <v>39.9</v>
      </c>
    </row>
    <row r="104" spans="1:13" ht="15" customHeight="1" x14ac:dyDescent="0.2">
      <c r="A104" s="1">
        <v>2010</v>
      </c>
      <c r="B104" s="9">
        <v>40.4</v>
      </c>
      <c r="C104" s="9">
        <v>42.6</v>
      </c>
      <c r="D104" s="9">
        <v>49.9</v>
      </c>
      <c r="E104" s="9">
        <v>56.2</v>
      </c>
      <c r="F104" s="9">
        <v>61.9</v>
      </c>
      <c r="G104" s="9">
        <v>73.3</v>
      </c>
      <c r="H104" s="9">
        <v>77.8</v>
      </c>
      <c r="I104" s="9">
        <v>76.8</v>
      </c>
      <c r="J104" s="9">
        <v>70.400000000000006</v>
      </c>
      <c r="K104" s="9">
        <v>59.6</v>
      </c>
      <c r="L104" s="9">
        <v>44.2</v>
      </c>
      <c r="M104" s="9">
        <v>44.2</v>
      </c>
    </row>
    <row r="105" spans="1:13" ht="15" customHeight="1" x14ac:dyDescent="0.2">
      <c r="A105" s="1">
        <v>2011</v>
      </c>
      <c r="B105" s="9">
        <v>39.5</v>
      </c>
      <c r="C105" s="9">
        <v>41.4</v>
      </c>
      <c r="D105" s="9">
        <v>52.2</v>
      </c>
      <c r="E105" s="9">
        <v>59.2</v>
      </c>
      <c r="F105" s="9">
        <v>61.7</v>
      </c>
      <c r="G105" s="9">
        <v>73.7</v>
      </c>
      <c r="H105" s="9">
        <v>80.7</v>
      </c>
      <c r="I105" s="9">
        <v>82</v>
      </c>
      <c r="J105" s="9">
        <v>73.3</v>
      </c>
      <c r="K105" s="9">
        <v>60.8</v>
      </c>
      <c r="L105" s="9">
        <v>47.6</v>
      </c>
      <c r="M105" s="9">
        <v>40.1</v>
      </c>
    </row>
    <row r="106" spans="1:13" ht="15" customHeight="1" x14ac:dyDescent="0.2">
      <c r="A106" s="1">
        <v>2012</v>
      </c>
      <c r="B106" s="9">
        <v>43.1</v>
      </c>
      <c r="C106" s="9">
        <v>45.2</v>
      </c>
      <c r="D106" s="9">
        <v>50.1</v>
      </c>
      <c r="E106" s="9">
        <v>59.2</v>
      </c>
      <c r="F106" s="9">
        <v>65.8</v>
      </c>
      <c r="G106" s="9">
        <v>75.8</v>
      </c>
      <c r="H106" s="9">
        <v>79.099999999999994</v>
      </c>
      <c r="I106" s="9">
        <v>79.5</v>
      </c>
      <c r="J106" s="9">
        <v>70.900000000000006</v>
      </c>
      <c r="K106" s="9">
        <v>59.7</v>
      </c>
      <c r="L106" s="9">
        <v>52.3</v>
      </c>
      <c r="M106" s="9">
        <v>42</v>
      </c>
    </row>
    <row r="107" spans="1:13" ht="15" customHeight="1" x14ac:dyDescent="0.2">
      <c r="A107" s="1">
        <v>2013</v>
      </c>
      <c r="B107" s="9">
        <v>38.4</v>
      </c>
      <c r="C107" s="9">
        <v>40.700000000000003</v>
      </c>
      <c r="D107" s="9">
        <v>52.9</v>
      </c>
      <c r="E107" s="9">
        <v>57.5</v>
      </c>
      <c r="F107" s="9">
        <v>64.599999999999994</v>
      </c>
      <c r="G107" s="9">
        <v>76.5</v>
      </c>
      <c r="H107" s="9">
        <v>78.5</v>
      </c>
      <c r="I107" s="9">
        <v>77.900000000000006</v>
      </c>
      <c r="J107" s="9">
        <v>71.900000000000006</v>
      </c>
      <c r="K107" s="9">
        <v>57</v>
      </c>
      <c r="L107" s="9">
        <v>50.5</v>
      </c>
      <c r="M107" s="9">
        <v>41.4</v>
      </c>
    </row>
    <row r="108" spans="1:13" ht="15" customHeight="1" x14ac:dyDescent="0.2">
      <c r="A108" s="1">
        <v>2014</v>
      </c>
      <c r="B108" s="9">
        <v>42.5</v>
      </c>
      <c r="C108" s="9">
        <v>48</v>
      </c>
      <c r="D108" s="9">
        <v>52.3</v>
      </c>
      <c r="E108" s="9">
        <v>57.7</v>
      </c>
      <c r="F108" s="9">
        <v>64.2</v>
      </c>
      <c r="G108" s="9">
        <v>74.599999999999994</v>
      </c>
      <c r="H108" s="9">
        <v>80.3</v>
      </c>
      <c r="I108" s="9">
        <v>76</v>
      </c>
      <c r="J108" s="9">
        <v>72.599999999999994</v>
      </c>
      <c r="K108" s="9">
        <v>62.4</v>
      </c>
      <c r="L108" s="9">
        <v>48.7</v>
      </c>
      <c r="M108" s="9">
        <v>45.2</v>
      </c>
    </row>
    <row r="109" spans="1:13" ht="15" customHeight="1" x14ac:dyDescent="0.2">
      <c r="A109" s="1">
        <v>2015</v>
      </c>
      <c r="B109" s="9">
        <v>43.9</v>
      </c>
      <c r="C109" s="9">
        <v>50.7</v>
      </c>
      <c r="D109" s="9">
        <v>55.5</v>
      </c>
      <c r="E109" s="9">
        <v>57.2</v>
      </c>
      <c r="F109" s="9">
        <v>63</v>
      </c>
      <c r="G109" s="9">
        <v>77.5</v>
      </c>
      <c r="H109" s="9">
        <v>78.900000000000006</v>
      </c>
      <c r="I109" s="9">
        <v>79.3</v>
      </c>
      <c r="J109" s="9">
        <v>73.5</v>
      </c>
      <c r="K109" s="9">
        <v>63.9</v>
      </c>
      <c r="L109" s="9">
        <v>49.3</v>
      </c>
      <c r="M109" s="9">
        <v>40.799999999999997</v>
      </c>
    </row>
    <row r="110" spans="1:13" ht="15" customHeight="1" x14ac:dyDescent="0.2">
      <c r="A110" s="1">
        <v>2016</v>
      </c>
      <c r="B110" s="9">
        <v>39.700000000000003</v>
      </c>
      <c r="C110" s="9">
        <v>51.7</v>
      </c>
      <c r="D110" s="9">
        <v>52.9</v>
      </c>
      <c r="E110" s="9">
        <v>57.7</v>
      </c>
      <c r="F110" s="9">
        <v>63.1</v>
      </c>
      <c r="G110" s="9">
        <v>78.599999999999994</v>
      </c>
      <c r="H110" s="9">
        <v>80.8</v>
      </c>
      <c r="I110" s="9">
        <v>75.900000000000006</v>
      </c>
      <c r="J110" s="9">
        <v>71.2</v>
      </c>
      <c r="K110" s="9">
        <v>64</v>
      </c>
      <c r="L110" s="9">
        <v>53</v>
      </c>
      <c r="M110" s="9">
        <v>45.5</v>
      </c>
    </row>
    <row r="111" spans="1:13" ht="15" customHeight="1" x14ac:dyDescent="0.2">
      <c r="A111" s="1">
        <v>2017</v>
      </c>
      <c r="B111" s="9">
        <v>43.2</v>
      </c>
      <c r="C111" s="9">
        <v>48.8</v>
      </c>
      <c r="D111" s="9">
        <v>56.3</v>
      </c>
      <c r="E111" s="9">
        <v>58.1</v>
      </c>
      <c r="F111" s="9">
        <v>64.5</v>
      </c>
      <c r="G111" s="9">
        <v>76.400000000000006</v>
      </c>
      <c r="H111" s="9">
        <v>79.099999999999994</v>
      </c>
      <c r="I111" s="9">
        <v>75.599999999999994</v>
      </c>
      <c r="J111" s="9">
        <v>71.900000000000006</v>
      </c>
      <c r="K111" s="9">
        <v>62.6</v>
      </c>
      <c r="L111" s="9">
        <v>54.6</v>
      </c>
      <c r="M111" s="9">
        <v>44.4</v>
      </c>
    </row>
    <row r="112" spans="1:13" ht="15" customHeight="1" x14ac:dyDescent="0.2">
      <c r="A112" s="1">
        <v>2018</v>
      </c>
      <c r="B112" s="9">
        <v>44.1</v>
      </c>
      <c r="C112" s="9">
        <v>47.8</v>
      </c>
      <c r="D112" s="9">
        <v>52.6</v>
      </c>
      <c r="E112" s="9">
        <v>61.5</v>
      </c>
      <c r="F112" s="9">
        <v>67.099999999999994</v>
      </c>
      <c r="G112" s="9">
        <v>76.8</v>
      </c>
      <c r="H112" s="9">
        <v>80.099999999999994</v>
      </c>
      <c r="I112" s="9">
        <v>78.599999999999994</v>
      </c>
      <c r="J112" s="9">
        <v>73.900000000000006</v>
      </c>
      <c r="K112" s="9">
        <v>60.3</v>
      </c>
      <c r="L112" s="9">
        <v>46</v>
      </c>
      <c r="M112" s="9">
        <v>42.6</v>
      </c>
    </row>
    <row r="113" spans="1:13" ht="15" customHeight="1" x14ac:dyDescent="0.2">
      <c r="A113" s="1">
        <v>2019</v>
      </c>
      <c r="B113" s="9">
        <v>42.3</v>
      </c>
      <c r="C113" s="9">
        <v>43.5</v>
      </c>
      <c r="D113" s="9">
        <v>51.7</v>
      </c>
      <c r="E113" s="9">
        <v>58.8</v>
      </c>
      <c r="F113" s="9">
        <v>61.6</v>
      </c>
      <c r="G113" s="9">
        <v>73.8</v>
      </c>
      <c r="H113" s="9">
        <v>81</v>
      </c>
      <c r="I113" s="9">
        <v>81.099999999999994</v>
      </c>
      <c r="J113" s="9">
        <v>73.599999999999994</v>
      </c>
      <c r="K113" s="9">
        <v>58.6</v>
      </c>
      <c r="L113" s="9">
        <v>50.4</v>
      </c>
      <c r="M113" s="9">
        <v>42.6</v>
      </c>
    </row>
    <row r="114" spans="1:13" ht="15" customHeight="1" x14ac:dyDescent="0.2">
      <c r="A114" s="1">
        <v>2020</v>
      </c>
      <c r="B114" s="9">
        <v>43.6</v>
      </c>
      <c r="C114" s="9">
        <v>45.4</v>
      </c>
      <c r="D114" s="9">
        <v>53.7</v>
      </c>
      <c r="E114" s="9">
        <v>58.3</v>
      </c>
      <c r="F114" s="9">
        <v>68</v>
      </c>
      <c r="G114" s="9">
        <v>74.7</v>
      </c>
      <c r="H114" s="9">
        <v>82.1</v>
      </c>
      <c r="I114" s="9">
        <v>82.7</v>
      </c>
      <c r="J114" s="9">
        <v>72</v>
      </c>
      <c r="K114" s="9">
        <v>62.1</v>
      </c>
      <c r="L114" s="9">
        <v>52.5</v>
      </c>
      <c r="M114" s="9">
        <v>39.700000000000003</v>
      </c>
    </row>
    <row r="115" spans="1:13" ht="15" customHeight="1" x14ac:dyDescent="0.2">
      <c r="A115" s="1">
        <v>2021</v>
      </c>
      <c r="B115" s="9">
        <v>41.5</v>
      </c>
      <c r="C115" s="9">
        <v>44.9</v>
      </c>
      <c r="D115" s="9">
        <v>50.4</v>
      </c>
      <c r="E115" s="9">
        <v>59.8</v>
      </c>
      <c r="F115" s="9">
        <v>66.599999999999994</v>
      </c>
      <c r="G115" s="9">
        <v>78.099999999999994</v>
      </c>
      <c r="H115" s="9">
        <v>80.3</v>
      </c>
      <c r="I115" s="9">
        <v>78.8</v>
      </c>
      <c r="J115" s="9">
        <v>72.7</v>
      </c>
      <c r="K115" s="9">
        <v>60.6</v>
      </c>
      <c r="L115" s="9">
        <v>52.4</v>
      </c>
      <c r="M115" s="9">
        <v>46.7</v>
      </c>
    </row>
    <row r="116" spans="1:13" ht="15" customHeight="1" x14ac:dyDescent="0.2">
      <c r="A116" s="1">
        <v>2022</v>
      </c>
      <c r="B116" s="9">
        <v>41.854838709677423</v>
      </c>
      <c r="C116" s="9">
        <v>43.410714285714285</v>
      </c>
      <c r="D116" s="9">
        <v>51.916666666666664</v>
      </c>
      <c r="E116" s="9">
        <v>60.383289124668437</v>
      </c>
      <c r="F116" s="9">
        <v>66.866666666666674</v>
      </c>
      <c r="G116" s="9">
        <v>78.016666666666666</v>
      </c>
      <c r="H116" s="9">
        <v>81.916666666666657</v>
      </c>
      <c r="I116" s="9">
        <v>78.354838709677409</v>
      </c>
      <c r="J116" s="9">
        <v>74.5</v>
      </c>
      <c r="K116" s="9">
        <v>60.709677419354833</v>
      </c>
      <c r="L116" s="9">
        <v>45.95</v>
      </c>
      <c r="M116" s="9">
        <v>43.416666666666671</v>
      </c>
    </row>
    <row r="117" spans="1:13" ht="15" customHeight="1" x14ac:dyDescent="0.2">
      <c r="A117" s="1">
        <v>2023</v>
      </c>
      <c r="B117" s="9">
        <v>41</v>
      </c>
      <c r="C117" s="9">
        <v>44.8</v>
      </c>
      <c r="D117" s="9">
        <v>50.4</v>
      </c>
      <c r="E117" s="9">
        <v>58.7</v>
      </c>
      <c r="F117" s="9">
        <v>65.7</v>
      </c>
      <c r="G117" s="9">
        <v>72.599999999999994</v>
      </c>
      <c r="H117" s="9">
        <v>84.4</v>
      </c>
      <c r="I117" s="9">
        <v>81.400000000000006</v>
      </c>
      <c r="J117" s="9">
        <v>74.599999999999994</v>
      </c>
      <c r="K117" s="9">
        <v>63.2</v>
      </c>
      <c r="L117" s="9">
        <v>50.8</v>
      </c>
      <c r="M117" s="9">
        <v>44.1</v>
      </c>
    </row>
    <row r="118" spans="1:13" ht="15" customHeight="1" x14ac:dyDescent="0.2">
      <c r="A118" s="1">
        <v>2024</v>
      </c>
      <c r="B118" s="1">
        <v>42.4</v>
      </c>
      <c r="C118" s="1">
        <v>48.4</v>
      </c>
      <c r="D118" s="1">
        <v>51.4</v>
      </c>
      <c r="E118" s="1">
        <v>58.4</v>
      </c>
      <c r="F118" s="1">
        <v>66.900000000000006</v>
      </c>
      <c r="G118" s="1">
        <v>78.900000000000006</v>
      </c>
      <c r="H118" s="1">
        <v>81.5</v>
      </c>
      <c r="I118" s="1">
        <v>80.5</v>
      </c>
      <c r="J118" s="1">
        <v>72.599999999999994</v>
      </c>
      <c r="K118" s="1">
        <v>64.599999999999994</v>
      </c>
      <c r="L118" s="1">
        <v>47.3</v>
      </c>
      <c r="M118" s="1">
        <v>45.9</v>
      </c>
    </row>
    <row r="119" spans="1:13" ht="15" customHeight="1" x14ac:dyDescent="0.2">
      <c r="A119" s="2" t="s">
        <v>102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" customHeight="1" x14ac:dyDescent="0.2">
      <c r="A120" s="1">
        <v>1968</v>
      </c>
      <c r="B120" s="1" t="s">
        <v>20</v>
      </c>
    </row>
    <row r="121" spans="1:13" ht="15" customHeight="1" x14ac:dyDescent="0.2">
      <c r="A121" s="1">
        <v>1969</v>
      </c>
      <c r="B121" s="1" t="s">
        <v>16</v>
      </c>
    </row>
    <row r="122" spans="1:13" ht="15" customHeight="1" x14ac:dyDescent="0.2">
      <c r="A122" s="1">
        <v>1970</v>
      </c>
      <c r="B122" s="1" t="s">
        <v>16</v>
      </c>
    </row>
    <row r="123" spans="1:13" ht="15" customHeight="1" x14ac:dyDescent="0.2">
      <c r="A123" s="1">
        <v>1971</v>
      </c>
      <c r="B123" s="1" t="s">
        <v>16</v>
      </c>
    </row>
    <row r="124" spans="1:13" ht="15" customHeight="1" x14ac:dyDescent="0.2">
      <c r="A124" s="1">
        <v>1972</v>
      </c>
      <c r="B124" s="1" t="s">
        <v>30</v>
      </c>
    </row>
    <row r="125" spans="1:13" ht="15" customHeight="1" x14ac:dyDescent="0.2">
      <c r="A125" s="1">
        <v>1973</v>
      </c>
      <c r="B125" s="1" t="s">
        <v>16</v>
      </c>
    </row>
    <row r="126" spans="1:13" ht="15" customHeight="1" x14ac:dyDescent="0.2">
      <c r="A126" s="1">
        <v>1974</v>
      </c>
      <c r="B126" s="1" t="s">
        <v>16</v>
      </c>
    </row>
    <row r="127" spans="1:13" ht="15" customHeight="1" x14ac:dyDescent="0.2">
      <c r="A127" s="1">
        <v>1975</v>
      </c>
      <c r="B127" s="1" t="s">
        <v>35</v>
      </c>
    </row>
    <row r="128" spans="1:13" ht="15" customHeight="1" x14ac:dyDescent="0.2">
      <c r="A128" s="1">
        <v>1976</v>
      </c>
      <c r="B128" s="1" t="s">
        <v>16</v>
      </c>
    </row>
    <row r="129" spans="1:2" ht="15" customHeight="1" x14ac:dyDescent="0.2">
      <c r="A129" s="1">
        <v>1977</v>
      </c>
      <c r="B129" s="1" t="s">
        <v>16</v>
      </c>
    </row>
    <row r="130" spans="1:2" ht="15" customHeight="1" x14ac:dyDescent="0.2">
      <c r="A130" s="1">
        <v>1978</v>
      </c>
      <c r="B130" s="1" t="s">
        <v>16</v>
      </c>
    </row>
    <row r="131" spans="1:2" ht="15" customHeight="1" x14ac:dyDescent="0.2">
      <c r="A131" s="1">
        <v>1979</v>
      </c>
      <c r="B131" s="1" t="s">
        <v>16</v>
      </c>
    </row>
    <row r="132" spans="1:2" ht="15" customHeight="1" x14ac:dyDescent="0.2">
      <c r="A132" s="1">
        <v>1980</v>
      </c>
      <c r="B132" s="1" t="s">
        <v>16</v>
      </c>
    </row>
    <row r="133" spans="1:2" ht="15" customHeight="1" x14ac:dyDescent="0.2">
      <c r="A133" s="1">
        <v>1981</v>
      </c>
      <c r="B133" s="1" t="s">
        <v>16</v>
      </c>
    </row>
    <row r="134" spans="1:2" ht="15" customHeight="1" x14ac:dyDescent="0.2">
      <c r="A134" s="1">
        <v>1982</v>
      </c>
      <c r="B134" s="1" t="s">
        <v>16</v>
      </c>
    </row>
    <row r="135" spans="1:2" ht="15" customHeight="1" x14ac:dyDescent="0.2">
      <c r="A135" s="1">
        <v>1983</v>
      </c>
      <c r="B135" s="1" t="s">
        <v>16</v>
      </c>
    </row>
    <row r="136" spans="1:2" ht="15" customHeight="1" x14ac:dyDescent="0.2">
      <c r="A136" s="1">
        <v>1984</v>
      </c>
      <c r="B136" s="1" t="s">
        <v>16</v>
      </c>
    </row>
    <row r="137" spans="1:2" ht="15" customHeight="1" x14ac:dyDescent="0.2">
      <c r="A137" s="1">
        <v>1985</v>
      </c>
      <c r="B137" s="1" t="s">
        <v>16</v>
      </c>
    </row>
    <row r="138" spans="1:2" ht="15" customHeight="1" x14ac:dyDescent="0.2">
      <c r="A138" s="1">
        <v>1986</v>
      </c>
      <c r="B138" s="1" t="s">
        <v>16</v>
      </c>
    </row>
    <row r="139" spans="1:2" ht="15" customHeight="1" x14ac:dyDescent="0.2">
      <c r="A139" s="1">
        <v>1987</v>
      </c>
      <c r="B139" s="1" t="s">
        <v>16</v>
      </c>
    </row>
    <row r="140" spans="1:2" ht="15" customHeight="1" x14ac:dyDescent="0.2">
      <c r="A140" s="1">
        <v>1988</v>
      </c>
      <c r="B140" s="1" t="s">
        <v>16</v>
      </c>
    </row>
    <row r="141" spans="1:2" ht="15" customHeight="1" x14ac:dyDescent="0.2">
      <c r="A141" s="1">
        <v>1989</v>
      </c>
      <c r="B141" s="1" t="s">
        <v>16</v>
      </c>
    </row>
    <row r="142" spans="1:2" ht="15" customHeight="1" x14ac:dyDescent="0.2">
      <c r="A142" s="1">
        <v>1990</v>
      </c>
      <c r="B142" s="1" t="s">
        <v>16</v>
      </c>
    </row>
    <row r="143" spans="1:2" ht="15" customHeight="1" x14ac:dyDescent="0.2">
      <c r="A143" s="1">
        <v>1991</v>
      </c>
      <c r="B143" s="1" t="s">
        <v>16</v>
      </c>
    </row>
    <row r="144" spans="1:2" ht="15" customHeight="1" x14ac:dyDescent="0.2">
      <c r="A144" s="1">
        <v>1992</v>
      </c>
      <c r="B144" s="1" t="s">
        <v>16</v>
      </c>
    </row>
    <row r="145" spans="1:2" ht="15" customHeight="1" x14ac:dyDescent="0.2">
      <c r="A145" s="1">
        <v>1993</v>
      </c>
      <c r="B145" s="1" t="s">
        <v>16</v>
      </c>
    </row>
    <row r="146" spans="1:2" ht="15" customHeight="1" x14ac:dyDescent="0.2">
      <c r="A146" s="1">
        <v>1994</v>
      </c>
      <c r="B146" s="1" t="s">
        <v>16</v>
      </c>
    </row>
    <row r="147" spans="1:2" ht="15" customHeight="1" x14ac:dyDescent="0.2">
      <c r="A147" s="1">
        <v>1995</v>
      </c>
      <c r="B147" s="1" t="s">
        <v>16</v>
      </c>
    </row>
    <row r="148" spans="1:2" ht="15" customHeight="1" x14ac:dyDescent="0.2">
      <c r="A148" s="1">
        <v>1996</v>
      </c>
      <c r="B148" s="1" t="s">
        <v>16</v>
      </c>
    </row>
    <row r="149" spans="1:2" ht="15" customHeight="1" x14ac:dyDescent="0.2">
      <c r="A149" s="1">
        <v>1997</v>
      </c>
      <c r="B149" s="1" t="s">
        <v>16</v>
      </c>
    </row>
    <row r="150" spans="1:2" ht="15" customHeight="1" x14ac:dyDescent="0.2">
      <c r="A150" s="1">
        <v>1998</v>
      </c>
      <c r="B150" s="1" t="s">
        <v>16</v>
      </c>
    </row>
    <row r="151" spans="1:2" ht="15" customHeight="1" x14ac:dyDescent="0.2">
      <c r="A151" s="1">
        <v>1999</v>
      </c>
      <c r="B151" s="1" t="s">
        <v>16</v>
      </c>
    </row>
    <row r="152" spans="1:2" ht="15" customHeight="1" x14ac:dyDescent="0.2">
      <c r="A152" s="1">
        <v>2000</v>
      </c>
      <c r="B152" s="1" t="s">
        <v>99</v>
      </c>
    </row>
    <row r="153" spans="1:2" ht="15" customHeight="1" x14ac:dyDescent="0.2">
      <c r="A153" s="1">
        <v>2001</v>
      </c>
      <c r="B153" s="1" t="s">
        <v>94</v>
      </c>
    </row>
    <row r="154" spans="1:2" ht="15" customHeight="1" x14ac:dyDescent="0.2">
      <c r="A154" s="1">
        <v>2002</v>
      </c>
      <c r="B154" s="1" t="s">
        <v>16</v>
      </c>
    </row>
    <row r="155" spans="1:2" ht="15" customHeight="1" x14ac:dyDescent="0.2">
      <c r="A155" s="1">
        <v>2003</v>
      </c>
      <c r="B155" s="1" t="s">
        <v>16</v>
      </c>
    </row>
    <row r="156" spans="1:2" ht="15" customHeight="1" x14ac:dyDescent="0.2">
      <c r="A156" s="1">
        <v>2004</v>
      </c>
      <c r="B156" s="1" t="s">
        <v>16</v>
      </c>
    </row>
    <row r="157" spans="1:2" ht="15" customHeight="1" x14ac:dyDescent="0.2">
      <c r="A157" s="1">
        <v>2005</v>
      </c>
      <c r="B157" s="1" t="s">
        <v>16</v>
      </c>
    </row>
    <row r="158" spans="1:2" ht="15" customHeight="1" x14ac:dyDescent="0.2">
      <c r="A158" s="1">
        <v>2006</v>
      </c>
      <c r="B158" s="1" t="s">
        <v>16</v>
      </c>
    </row>
    <row r="159" spans="1:2" ht="15" customHeight="1" x14ac:dyDescent="0.2">
      <c r="A159" s="1">
        <v>2007</v>
      </c>
      <c r="B159" s="1" t="s">
        <v>120</v>
      </c>
    </row>
    <row r="160" spans="1:2" ht="15" customHeight="1" x14ac:dyDescent="0.2">
      <c r="A160" s="1">
        <v>2008</v>
      </c>
      <c r="B160" s="1" t="s">
        <v>120</v>
      </c>
    </row>
    <row r="161" spans="1:2" ht="15" customHeight="1" x14ac:dyDescent="0.2">
      <c r="A161" s="1">
        <v>2009</v>
      </c>
      <c r="B161" s="1" t="s">
        <v>120</v>
      </c>
    </row>
    <row r="162" spans="1:2" ht="15" customHeight="1" x14ac:dyDescent="0.2">
      <c r="A162" s="1">
        <v>2010</v>
      </c>
      <c r="B162" s="1" t="s">
        <v>120</v>
      </c>
    </row>
    <row r="163" spans="1:2" ht="15" customHeight="1" x14ac:dyDescent="0.2">
      <c r="A163" s="1">
        <v>2011</v>
      </c>
      <c r="B163" s="1" t="s">
        <v>120</v>
      </c>
    </row>
    <row r="164" spans="1:2" ht="15" customHeight="1" x14ac:dyDescent="0.2">
      <c r="A164" s="1">
        <v>2012</v>
      </c>
      <c r="B164" s="1" t="s">
        <v>120</v>
      </c>
    </row>
    <row r="165" spans="1:2" ht="15" customHeight="1" x14ac:dyDescent="0.2">
      <c r="A165" s="1">
        <v>2013</v>
      </c>
      <c r="B165" s="1" t="s">
        <v>120</v>
      </c>
    </row>
    <row r="166" spans="1:2" ht="15" customHeight="1" x14ac:dyDescent="0.2">
      <c r="A166" s="1">
        <v>2014</v>
      </c>
      <c r="B166" s="1" t="s">
        <v>120</v>
      </c>
    </row>
    <row r="167" spans="1:2" ht="15" customHeight="1" x14ac:dyDescent="0.2">
      <c r="A167" s="1">
        <v>2015</v>
      </c>
      <c r="B167" s="1" t="s">
        <v>120</v>
      </c>
    </row>
    <row r="168" spans="1:2" ht="15" customHeight="1" x14ac:dyDescent="0.2">
      <c r="A168" s="1">
        <v>2016</v>
      </c>
      <c r="B168" s="1" t="s">
        <v>120</v>
      </c>
    </row>
    <row r="169" spans="1:2" ht="15" customHeight="1" x14ac:dyDescent="0.2">
      <c r="A169" s="1">
        <v>2017</v>
      </c>
      <c r="B169" s="1" t="s">
        <v>120</v>
      </c>
    </row>
    <row r="170" spans="1:2" ht="15" customHeight="1" x14ac:dyDescent="0.2">
      <c r="A170" s="1">
        <v>2018</v>
      </c>
      <c r="B170" s="1" t="s">
        <v>120</v>
      </c>
    </row>
    <row r="171" spans="1:2" ht="15" customHeight="1" x14ac:dyDescent="0.2">
      <c r="A171" s="1">
        <v>2019</v>
      </c>
      <c r="B171" s="1" t="s">
        <v>120</v>
      </c>
    </row>
    <row r="172" spans="1:2" ht="15" customHeight="1" x14ac:dyDescent="0.2">
      <c r="A172" s="1">
        <v>2020</v>
      </c>
      <c r="B172" s="1" t="s">
        <v>120</v>
      </c>
    </row>
    <row r="173" spans="1:2" ht="15" customHeight="1" x14ac:dyDescent="0.2">
      <c r="A173" s="1">
        <v>2021</v>
      </c>
      <c r="B173" s="1" t="s">
        <v>223</v>
      </c>
    </row>
    <row r="174" spans="1:2" ht="15" customHeight="1" x14ac:dyDescent="0.2">
      <c r="A174" s="1">
        <v>2022</v>
      </c>
      <c r="B174" s="1" t="s">
        <v>120</v>
      </c>
    </row>
    <row r="175" spans="1:2" ht="15" customHeight="1" x14ac:dyDescent="0.2">
      <c r="A175" s="1">
        <v>2023</v>
      </c>
      <c r="B175" s="1" t="s">
        <v>231</v>
      </c>
    </row>
    <row r="176" spans="1:2" ht="15" customHeight="1" x14ac:dyDescent="0.2">
      <c r="A176" s="1">
        <v>2024</v>
      </c>
      <c r="B176" s="1" t="s">
        <v>231</v>
      </c>
    </row>
    <row r="177" spans="1:12" ht="15" customHeight="1" x14ac:dyDescent="0.2">
      <c r="A177" s="2" t="s">
        <v>8</v>
      </c>
      <c r="C177" s="2" t="s">
        <v>136</v>
      </c>
      <c r="D177" s="2"/>
      <c r="E177" s="2"/>
      <c r="F177" s="2"/>
      <c r="G177" s="2"/>
      <c r="H177" s="2"/>
      <c r="I177" s="13"/>
      <c r="J177" s="2"/>
      <c r="K177" s="2"/>
      <c r="L177" s="2"/>
    </row>
    <row r="178" spans="1:12" ht="15" customHeight="1" x14ac:dyDescent="0.2">
      <c r="A178" s="2"/>
      <c r="B178" s="1" t="s">
        <v>137</v>
      </c>
      <c r="C178" s="2"/>
      <c r="D178" s="2"/>
      <c r="E178" s="1" t="s">
        <v>137</v>
      </c>
      <c r="F178" s="2"/>
      <c r="G178" s="2"/>
      <c r="H178" s="1" t="s">
        <v>140</v>
      </c>
      <c r="I178" s="2"/>
      <c r="J178" s="2"/>
      <c r="K178" s="1" t="s">
        <v>140</v>
      </c>
      <c r="L178" s="2"/>
    </row>
    <row r="179" spans="1:12" ht="15" customHeight="1" x14ac:dyDescent="0.2">
      <c r="B179" s="8" t="s">
        <v>139</v>
      </c>
      <c r="C179" s="8"/>
      <c r="E179" s="8" t="s">
        <v>138</v>
      </c>
      <c r="F179" s="8"/>
      <c r="H179" s="8" t="s">
        <v>138</v>
      </c>
      <c r="I179" s="8"/>
      <c r="K179" s="8" t="s">
        <v>139</v>
      </c>
      <c r="L179" s="8"/>
    </row>
    <row r="180" spans="1:12" ht="15" customHeight="1" x14ac:dyDescent="0.2">
      <c r="A180" s="1">
        <v>1968</v>
      </c>
      <c r="B180" s="1">
        <v>4</v>
      </c>
      <c r="C180" s="1">
        <v>24</v>
      </c>
      <c r="E180" s="1">
        <v>4</v>
      </c>
      <c r="F180" s="1">
        <v>26</v>
      </c>
      <c r="H180" s="1">
        <v>10</v>
      </c>
      <c r="I180" s="1">
        <v>16</v>
      </c>
      <c r="K180" s="1">
        <v>11</v>
      </c>
      <c r="L180" s="1">
        <v>5</v>
      </c>
    </row>
    <row r="181" spans="1:12" ht="15" customHeight="1" x14ac:dyDescent="0.2">
      <c r="A181" s="1">
        <v>1969</v>
      </c>
      <c r="B181" s="1">
        <v>4</v>
      </c>
      <c r="C181" s="1">
        <v>27</v>
      </c>
      <c r="E181" s="1">
        <v>4</v>
      </c>
      <c r="F181" s="1">
        <v>28</v>
      </c>
      <c r="H181" s="1">
        <v>10</v>
      </c>
      <c r="I181" s="1">
        <v>13</v>
      </c>
      <c r="K181" s="1">
        <v>10</v>
      </c>
      <c r="L181" s="1">
        <v>13</v>
      </c>
    </row>
    <row r="182" spans="1:12" ht="15" customHeight="1" x14ac:dyDescent="0.2">
      <c r="A182" s="1">
        <v>1970</v>
      </c>
      <c r="B182" s="1">
        <v>5</v>
      </c>
      <c r="C182" s="1">
        <v>1</v>
      </c>
      <c r="E182" s="1">
        <v>5</v>
      </c>
      <c r="F182" s="1">
        <v>8</v>
      </c>
      <c r="H182" s="1">
        <v>10</v>
      </c>
      <c r="I182" s="1">
        <v>9</v>
      </c>
      <c r="K182" s="1">
        <v>10</v>
      </c>
      <c r="L182" s="1">
        <v>27</v>
      </c>
    </row>
    <row r="183" spans="1:12" ht="15" customHeight="1" x14ac:dyDescent="0.2">
      <c r="A183" s="1">
        <v>1971</v>
      </c>
      <c r="B183" s="1">
        <v>4</v>
      </c>
      <c r="C183" s="1">
        <v>27</v>
      </c>
      <c r="E183" s="1">
        <v>5</v>
      </c>
      <c r="F183" s="1">
        <v>23</v>
      </c>
      <c r="H183" s="1">
        <v>10</v>
      </c>
      <c r="I183" s="1">
        <v>27</v>
      </c>
      <c r="K183" s="1">
        <v>10</v>
      </c>
      <c r="L183" s="1">
        <v>30</v>
      </c>
    </row>
    <row r="184" spans="1:12" ht="15" customHeight="1" x14ac:dyDescent="0.2">
      <c r="A184" s="1">
        <v>1972</v>
      </c>
      <c r="B184" s="1">
        <v>4</v>
      </c>
      <c r="C184" s="1">
        <v>23</v>
      </c>
      <c r="E184" s="1">
        <v>5</v>
      </c>
      <c r="F184" s="1">
        <v>12</v>
      </c>
      <c r="H184" s="1">
        <v>10</v>
      </c>
      <c r="I184" s="1">
        <v>31</v>
      </c>
      <c r="K184" s="1">
        <v>11</v>
      </c>
      <c r="L184" s="1">
        <v>1</v>
      </c>
    </row>
    <row r="185" spans="1:12" ht="15" customHeight="1" x14ac:dyDescent="0.2">
      <c r="A185" s="1">
        <v>1973</v>
      </c>
      <c r="B185" s="1">
        <v>4</v>
      </c>
      <c r="C185" s="1">
        <v>15</v>
      </c>
      <c r="E185" s="1">
        <v>5</v>
      </c>
      <c r="F185" s="1">
        <v>2</v>
      </c>
      <c r="H185" s="1">
        <v>10</v>
      </c>
      <c r="I185" s="1">
        <v>11</v>
      </c>
      <c r="K185" s="1">
        <v>10</v>
      </c>
      <c r="L185" s="1">
        <v>11</v>
      </c>
    </row>
    <row r="186" spans="1:12" ht="15" customHeight="1" x14ac:dyDescent="0.2">
      <c r="A186" s="1">
        <v>1974</v>
      </c>
      <c r="B186" s="1">
        <v>5</v>
      </c>
      <c r="C186" s="1">
        <v>21</v>
      </c>
      <c r="E186" s="1">
        <v>5</v>
      </c>
      <c r="F186" s="1">
        <v>21</v>
      </c>
      <c r="H186" s="1">
        <v>10</v>
      </c>
      <c r="I186" s="1">
        <v>30</v>
      </c>
      <c r="K186" s="1">
        <v>11</v>
      </c>
      <c r="L186" s="1">
        <v>4</v>
      </c>
    </row>
    <row r="187" spans="1:12" ht="15" customHeight="1" x14ac:dyDescent="0.2">
      <c r="A187" s="1">
        <v>1975</v>
      </c>
      <c r="B187" s="1">
        <v>5</v>
      </c>
      <c r="C187" s="1">
        <v>7</v>
      </c>
      <c r="E187" s="1">
        <v>5</v>
      </c>
      <c r="F187" s="1">
        <v>8</v>
      </c>
      <c r="H187" s="1">
        <v>10</v>
      </c>
      <c r="I187" s="1">
        <v>14</v>
      </c>
      <c r="K187" s="1">
        <v>10</v>
      </c>
      <c r="L187" s="1">
        <v>14</v>
      </c>
    </row>
    <row r="188" spans="1:12" ht="15" customHeight="1" x14ac:dyDescent="0.2">
      <c r="A188" s="1">
        <v>1976</v>
      </c>
      <c r="B188" s="1">
        <v>4</v>
      </c>
      <c r="C188" s="1">
        <v>18</v>
      </c>
      <c r="E188" s="1">
        <v>4</v>
      </c>
      <c r="F188" s="1">
        <v>20</v>
      </c>
      <c r="H188" s="1">
        <v>10</v>
      </c>
      <c r="I188" s="1">
        <v>7</v>
      </c>
      <c r="K188" s="1">
        <v>11</v>
      </c>
      <c r="L188" s="1">
        <v>10</v>
      </c>
    </row>
    <row r="189" spans="1:12" ht="15" customHeight="1" x14ac:dyDescent="0.2">
      <c r="A189" s="1">
        <v>1977</v>
      </c>
      <c r="B189" s="1">
        <v>4</v>
      </c>
      <c r="C189" s="1">
        <v>4</v>
      </c>
      <c r="E189" s="1">
        <v>4</v>
      </c>
      <c r="F189" s="1">
        <v>12</v>
      </c>
      <c r="H189" s="1">
        <v>11</v>
      </c>
      <c r="I189" s="1">
        <v>2</v>
      </c>
      <c r="K189" s="1">
        <v>11</v>
      </c>
      <c r="L189" s="1">
        <v>9</v>
      </c>
    </row>
    <row r="190" spans="1:12" ht="15" customHeight="1" x14ac:dyDescent="0.2">
      <c r="A190" s="1">
        <v>1978</v>
      </c>
      <c r="B190" s="1">
        <v>4</v>
      </c>
      <c r="C190" s="1">
        <v>10</v>
      </c>
      <c r="E190" s="1">
        <v>4</v>
      </c>
      <c r="F190" s="1">
        <v>23</v>
      </c>
      <c r="H190" s="1">
        <v>10</v>
      </c>
      <c r="I190" s="1">
        <v>29</v>
      </c>
      <c r="K190" s="1">
        <v>11</v>
      </c>
      <c r="L190" s="1">
        <v>16</v>
      </c>
    </row>
    <row r="191" spans="1:12" ht="15" customHeight="1" x14ac:dyDescent="0.2">
      <c r="A191" s="1">
        <v>1979</v>
      </c>
      <c r="B191" s="1">
        <v>4</v>
      </c>
      <c r="C191" s="1">
        <v>11</v>
      </c>
      <c r="E191" s="1">
        <v>5</v>
      </c>
      <c r="F191" s="1">
        <v>10</v>
      </c>
      <c r="H191" s="1">
        <v>10</v>
      </c>
      <c r="I191" s="1">
        <v>27</v>
      </c>
      <c r="K191" s="1">
        <v>10</v>
      </c>
      <c r="L191" s="1">
        <v>31</v>
      </c>
    </row>
    <row r="192" spans="1:12" ht="15" customHeight="1" x14ac:dyDescent="0.2">
      <c r="A192" s="1">
        <v>1980</v>
      </c>
      <c r="B192" s="1">
        <v>4</v>
      </c>
      <c r="C192" s="1">
        <v>14</v>
      </c>
      <c r="E192" s="1">
        <v>5</v>
      </c>
      <c r="F192" s="1">
        <v>25</v>
      </c>
      <c r="H192" s="1">
        <v>10</v>
      </c>
      <c r="I192" s="1">
        <v>16</v>
      </c>
      <c r="K192" s="1">
        <v>10</v>
      </c>
      <c r="L192" s="1">
        <v>27</v>
      </c>
    </row>
    <row r="193" spans="1:12" ht="15" customHeight="1" x14ac:dyDescent="0.2">
      <c r="A193" s="1">
        <v>1981</v>
      </c>
      <c r="B193" s="1">
        <v>3</v>
      </c>
      <c r="C193" s="1">
        <v>28</v>
      </c>
      <c r="E193" s="1">
        <v>4</v>
      </c>
      <c r="F193" s="1">
        <v>4</v>
      </c>
      <c r="H193" s="1">
        <v>10</v>
      </c>
      <c r="I193" s="1">
        <v>17</v>
      </c>
      <c r="K193" s="1">
        <v>10</v>
      </c>
      <c r="L193" s="1">
        <v>17</v>
      </c>
    </row>
    <row r="194" spans="1:12" ht="15" customHeight="1" x14ac:dyDescent="0.2">
      <c r="A194" s="1">
        <v>1982</v>
      </c>
      <c r="B194" s="1">
        <v>4</v>
      </c>
      <c r="C194" s="1">
        <v>8</v>
      </c>
      <c r="E194" s="1">
        <v>4</v>
      </c>
      <c r="F194" s="1">
        <v>24</v>
      </c>
      <c r="H194" s="1">
        <v>10</v>
      </c>
      <c r="I194" s="1">
        <v>9</v>
      </c>
      <c r="K194" s="1">
        <v>10</v>
      </c>
      <c r="L194" s="1">
        <v>9</v>
      </c>
    </row>
    <row r="195" spans="1:12" ht="15" customHeight="1" x14ac:dyDescent="0.2">
      <c r="A195" s="1">
        <v>1983</v>
      </c>
      <c r="B195" s="1">
        <v>4</v>
      </c>
      <c r="C195" s="1">
        <v>15</v>
      </c>
      <c r="E195" s="1">
        <v>5</v>
      </c>
      <c r="F195" s="1">
        <v>3</v>
      </c>
      <c r="H195" s="1">
        <v>11</v>
      </c>
      <c r="I195" s="1">
        <v>16</v>
      </c>
      <c r="K195" s="1">
        <v>11</v>
      </c>
      <c r="L195" s="1">
        <v>19</v>
      </c>
    </row>
    <row r="196" spans="1:12" ht="15" customHeight="1" x14ac:dyDescent="0.2">
      <c r="A196" s="1">
        <v>1984</v>
      </c>
      <c r="B196" s="1">
        <v>4</v>
      </c>
      <c r="C196" s="1">
        <v>21</v>
      </c>
      <c r="E196" s="1">
        <v>5</v>
      </c>
      <c r="F196" s="1">
        <v>2</v>
      </c>
      <c r="H196" s="1">
        <v>10</v>
      </c>
      <c r="I196" s="1">
        <v>19</v>
      </c>
      <c r="K196" s="1">
        <v>11</v>
      </c>
      <c r="L196" s="1">
        <v>9</v>
      </c>
    </row>
    <row r="197" spans="1:12" ht="15" customHeight="1" x14ac:dyDescent="0.2">
      <c r="A197" s="1">
        <v>1985</v>
      </c>
      <c r="B197" s="1">
        <v>3</v>
      </c>
      <c r="C197" s="1">
        <v>31</v>
      </c>
      <c r="E197" s="1">
        <v>4</v>
      </c>
      <c r="F197" s="1">
        <v>19</v>
      </c>
      <c r="H197" s="1">
        <v>11</v>
      </c>
      <c r="I197" s="1">
        <v>2</v>
      </c>
      <c r="K197" s="1">
        <v>11</v>
      </c>
      <c r="L197" s="1">
        <v>15</v>
      </c>
    </row>
    <row r="198" spans="1:12" ht="15" customHeight="1" x14ac:dyDescent="0.2">
      <c r="A198" s="1">
        <v>1986</v>
      </c>
      <c r="B198" s="1">
        <v>4</v>
      </c>
      <c r="C198" s="1">
        <v>18</v>
      </c>
      <c r="E198" s="1">
        <v>5</v>
      </c>
      <c r="F198" s="1">
        <v>9</v>
      </c>
      <c r="H198" s="1">
        <v>11</v>
      </c>
      <c r="I198" s="1">
        <v>8</v>
      </c>
      <c r="K198" s="1">
        <v>11</v>
      </c>
      <c r="L198" s="1">
        <v>8</v>
      </c>
    </row>
    <row r="199" spans="1:12" ht="15" customHeight="1" x14ac:dyDescent="0.2">
      <c r="A199" s="1">
        <v>1987</v>
      </c>
      <c r="B199" s="1">
        <v>3</v>
      </c>
      <c r="C199" s="1">
        <v>31</v>
      </c>
      <c r="E199" s="1">
        <v>4</v>
      </c>
      <c r="F199" s="1">
        <v>14</v>
      </c>
      <c r="H199" s="1">
        <v>11</v>
      </c>
      <c r="I199" s="1">
        <v>7</v>
      </c>
      <c r="K199" s="1">
        <v>11</v>
      </c>
      <c r="L199" s="1">
        <v>11</v>
      </c>
    </row>
    <row r="200" spans="1:12" ht="15" customHeight="1" x14ac:dyDescent="0.2">
      <c r="A200" s="1">
        <v>1988</v>
      </c>
      <c r="B200" s="1">
        <v>5</v>
      </c>
      <c r="C200" s="1">
        <v>7</v>
      </c>
      <c r="E200" s="1">
        <v>5</v>
      </c>
      <c r="F200" s="1">
        <v>9</v>
      </c>
      <c r="H200" s="1">
        <v>11</v>
      </c>
      <c r="I200" s="1">
        <v>11</v>
      </c>
      <c r="K200" s="1">
        <v>11</v>
      </c>
      <c r="L200" s="1">
        <v>17</v>
      </c>
    </row>
    <row r="201" spans="1:12" ht="15" customHeight="1" x14ac:dyDescent="0.2">
      <c r="A201" s="1">
        <v>1989</v>
      </c>
      <c r="B201" s="1">
        <v>4</v>
      </c>
      <c r="C201" s="1">
        <v>28</v>
      </c>
      <c r="E201" s="1">
        <v>4</v>
      </c>
      <c r="F201" s="1">
        <v>29</v>
      </c>
      <c r="H201" s="1">
        <v>10</v>
      </c>
      <c r="I201" s="1">
        <v>27</v>
      </c>
      <c r="K201" s="1">
        <v>10</v>
      </c>
      <c r="L201" s="1">
        <v>27</v>
      </c>
    </row>
    <row r="202" spans="1:12" ht="15" customHeight="1" x14ac:dyDescent="0.2">
      <c r="A202" s="1">
        <v>1990</v>
      </c>
      <c r="B202" s="1">
        <v>3</v>
      </c>
      <c r="C202" s="1">
        <v>16</v>
      </c>
      <c r="E202" s="1">
        <v>3</v>
      </c>
      <c r="F202" s="1">
        <v>20</v>
      </c>
      <c r="H202" s="1">
        <v>10</v>
      </c>
      <c r="I202" s="1">
        <v>10</v>
      </c>
      <c r="K202" s="1">
        <v>11</v>
      </c>
      <c r="L202" s="1">
        <v>27</v>
      </c>
    </row>
    <row r="203" spans="1:12" ht="15" customHeight="1" x14ac:dyDescent="0.2">
      <c r="A203" s="1">
        <v>1991</v>
      </c>
      <c r="B203" s="1">
        <v>4</v>
      </c>
      <c r="C203" s="1">
        <v>29</v>
      </c>
      <c r="E203" s="1">
        <v>5</v>
      </c>
      <c r="F203" s="1">
        <v>4</v>
      </c>
      <c r="H203" s="1">
        <v>10</v>
      </c>
      <c r="I203" s="1">
        <v>28</v>
      </c>
      <c r="K203" s="1">
        <v>10</v>
      </c>
      <c r="L203" s="1">
        <v>29</v>
      </c>
    </row>
    <row r="204" spans="1:12" ht="15" customHeight="1" x14ac:dyDescent="0.2">
      <c r="A204" s="1">
        <v>1992</v>
      </c>
      <c r="B204" s="1">
        <v>3</v>
      </c>
      <c r="C204" s="1">
        <v>10</v>
      </c>
      <c r="E204" s="1">
        <v>3</v>
      </c>
      <c r="F204" s="1">
        <v>25</v>
      </c>
      <c r="H204" s="1">
        <v>10</v>
      </c>
      <c r="I204" s="1">
        <v>8</v>
      </c>
      <c r="K204" s="1">
        <v>11</v>
      </c>
      <c r="L204" s="1">
        <v>2</v>
      </c>
    </row>
    <row r="205" spans="1:12" ht="15" customHeight="1" x14ac:dyDescent="0.2">
      <c r="A205" s="1">
        <v>1993</v>
      </c>
      <c r="B205" s="1">
        <v>4</v>
      </c>
      <c r="C205" s="1">
        <v>20</v>
      </c>
      <c r="E205" s="1">
        <v>4</v>
      </c>
      <c r="F205" s="1">
        <v>20</v>
      </c>
      <c r="H205" s="1">
        <v>10</v>
      </c>
      <c r="I205" s="1">
        <v>28</v>
      </c>
      <c r="K205" s="1">
        <v>10</v>
      </c>
      <c r="L205" s="1">
        <v>31</v>
      </c>
    </row>
    <row r="206" spans="1:12" ht="15" customHeight="1" x14ac:dyDescent="0.2">
      <c r="A206" s="1">
        <v>1994</v>
      </c>
      <c r="B206" s="1">
        <v>3</v>
      </c>
      <c r="C206" s="1">
        <v>29</v>
      </c>
      <c r="E206" s="1">
        <v>4</v>
      </c>
      <c r="F206" s="1">
        <v>30</v>
      </c>
      <c r="H206" s="1">
        <v>10</v>
      </c>
      <c r="I206" s="1">
        <v>17</v>
      </c>
      <c r="K206" s="1">
        <v>11</v>
      </c>
      <c r="L206" s="1">
        <v>5</v>
      </c>
    </row>
    <row r="207" spans="1:12" ht="15" customHeight="1" x14ac:dyDescent="0.2">
      <c r="A207" s="1">
        <v>1995</v>
      </c>
      <c r="B207" s="1">
        <v>5</v>
      </c>
      <c r="C207" s="1">
        <v>8</v>
      </c>
      <c r="E207" s="1">
        <v>5</v>
      </c>
      <c r="F207" s="1">
        <v>8</v>
      </c>
      <c r="H207" s="1">
        <v>10</v>
      </c>
      <c r="I207" s="1">
        <v>25</v>
      </c>
      <c r="K207" s="1">
        <v>11</v>
      </c>
      <c r="L207" s="1">
        <v>19</v>
      </c>
    </row>
    <row r="208" spans="1:12" ht="15" customHeight="1" x14ac:dyDescent="0.2">
      <c r="A208" s="1">
        <v>1996</v>
      </c>
      <c r="B208" s="1">
        <v>4</v>
      </c>
      <c r="C208" s="1">
        <v>7</v>
      </c>
      <c r="E208" s="1">
        <v>4</v>
      </c>
      <c r="F208" s="1">
        <v>21</v>
      </c>
      <c r="H208" s="1">
        <v>10</v>
      </c>
      <c r="I208" s="1">
        <v>22</v>
      </c>
      <c r="K208" s="1">
        <v>10</v>
      </c>
      <c r="L208" s="1">
        <v>22</v>
      </c>
    </row>
    <row r="209" spans="1:12" ht="15" customHeight="1" x14ac:dyDescent="0.2">
      <c r="A209" s="1">
        <v>1997</v>
      </c>
      <c r="B209" s="1">
        <v>3</v>
      </c>
      <c r="C209" s="1">
        <v>26</v>
      </c>
      <c r="E209" s="1">
        <v>4</v>
      </c>
      <c r="F209" s="1">
        <v>25</v>
      </c>
      <c r="H209" s="1">
        <v>10</v>
      </c>
      <c r="I209" s="1">
        <v>13</v>
      </c>
      <c r="K209" s="1">
        <v>10</v>
      </c>
      <c r="L209" s="1">
        <v>13</v>
      </c>
    </row>
    <row r="210" spans="1:12" ht="15" customHeight="1" x14ac:dyDescent="0.2">
      <c r="A210" s="1">
        <v>1998</v>
      </c>
      <c r="B210" s="1">
        <v>4</v>
      </c>
      <c r="C210" s="1">
        <v>18</v>
      </c>
      <c r="E210" s="1">
        <v>5</v>
      </c>
      <c r="F210" s="1">
        <v>15</v>
      </c>
      <c r="H210" s="1">
        <v>10</v>
      </c>
      <c r="I210" s="1">
        <v>17</v>
      </c>
      <c r="K210" s="1">
        <v>11</v>
      </c>
      <c r="L210" s="1">
        <v>10</v>
      </c>
    </row>
    <row r="211" spans="1:12" ht="15" customHeight="1" x14ac:dyDescent="0.2">
      <c r="A211" s="1">
        <v>1999</v>
      </c>
      <c r="B211" s="1">
        <v>4</v>
      </c>
      <c r="C211" s="1">
        <v>10</v>
      </c>
      <c r="E211" s="1">
        <v>5</v>
      </c>
      <c r="F211" s="1">
        <v>2</v>
      </c>
      <c r="H211" s="1">
        <v>10</v>
      </c>
      <c r="I211" s="1">
        <v>18</v>
      </c>
      <c r="K211" s="1">
        <v>10</v>
      </c>
      <c r="L211" s="1">
        <v>18</v>
      </c>
    </row>
    <row r="212" spans="1:12" ht="15" customHeight="1" x14ac:dyDescent="0.2">
      <c r="A212" s="1">
        <v>2000</v>
      </c>
      <c r="B212" s="1">
        <v>4</v>
      </c>
      <c r="C212" s="1">
        <v>1</v>
      </c>
      <c r="E212" s="1">
        <v>4</v>
      </c>
      <c r="F212" s="1">
        <v>1</v>
      </c>
      <c r="H212" s="1">
        <v>11</v>
      </c>
      <c r="I212" s="1">
        <v>1</v>
      </c>
      <c r="K212" s="1">
        <v>11</v>
      </c>
      <c r="L212" s="1">
        <v>1</v>
      </c>
    </row>
    <row r="213" spans="1:12" ht="15" customHeight="1" x14ac:dyDescent="0.2">
      <c r="A213" s="1">
        <v>2001</v>
      </c>
      <c r="B213" s="1">
        <v>4</v>
      </c>
      <c r="C213" s="1">
        <v>12</v>
      </c>
      <c r="E213" s="1">
        <v>5</v>
      </c>
      <c r="F213" s="1">
        <v>5</v>
      </c>
      <c r="H213" s="1">
        <v>10</v>
      </c>
      <c r="I213" s="1">
        <v>13</v>
      </c>
      <c r="K213" s="1">
        <v>11</v>
      </c>
      <c r="L213" s="1">
        <v>20</v>
      </c>
    </row>
    <row r="214" spans="1:12" ht="15" customHeight="1" x14ac:dyDescent="0.2">
      <c r="A214" s="1">
        <v>2002</v>
      </c>
      <c r="B214" s="1">
        <v>4</v>
      </c>
      <c r="C214" s="1">
        <v>21</v>
      </c>
      <c r="E214" s="1">
        <v>5</v>
      </c>
      <c r="F214" s="1">
        <v>7</v>
      </c>
      <c r="H214" s="1">
        <v>10</v>
      </c>
      <c r="I214" s="1">
        <v>4</v>
      </c>
      <c r="K214" s="1">
        <v>11</v>
      </c>
      <c r="L214" s="1">
        <v>5</v>
      </c>
    </row>
    <row r="215" spans="1:12" ht="15" customHeight="1" x14ac:dyDescent="0.2">
      <c r="A215" s="1">
        <v>2003</v>
      </c>
      <c r="B215" s="1">
        <v>4</v>
      </c>
      <c r="C215" s="1">
        <v>7</v>
      </c>
      <c r="E215" s="1">
        <v>5</v>
      </c>
      <c r="F215" s="1">
        <v>11</v>
      </c>
      <c r="H215" s="1">
        <v>10</v>
      </c>
      <c r="I215" s="1">
        <v>27</v>
      </c>
      <c r="K215" s="1">
        <v>10</v>
      </c>
      <c r="L215" s="1">
        <v>27</v>
      </c>
    </row>
    <row r="216" spans="1:12" ht="15" customHeight="1" x14ac:dyDescent="0.2">
      <c r="A216" s="1">
        <v>2004</v>
      </c>
      <c r="B216" s="1">
        <v>3</v>
      </c>
      <c r="C216" s="1">
        <v>6</v>
      </c>
      <c r="E216" s="1">
        <v>4</v>
      </c>
      <c r="F216" s="1">
        <v>23</v>
      </c>
      <c r="H216" s="1">
        <v>10</v>
      </c>
      <c r="I216" s="1">
        <v>23</v>
      </c>
      <c r="K216" s="1">
        <v>11</v>
      </c>
      <c r="L216" s="1">
        <v>2</v>
      </c>
    </row>
    <row r="217" spans="1:12" ht="15" customHeight="1" x14ac:dyDescent="0.2">
      <c r="A217" s="1">
        <v>2005</v>
      </c>
      <c r="B217" s="1">
        <v>4</v>
      </c>
      <c r="C217" s="1">
        <v>10</v>
      </c>
      <c r="E217" s="1">
        <v>4</v>
      </c>
      <c r="F217" s="1">
        <v>11</v>
      </c>
      <c r="H217" s="1">
        <v>10</v>
      </c>
      <c r="I217" s="1">
        <v>31</v>
      </c>
      <c r="K217" s="1">
        <v>11</v>
      </c>
      <c r="L217" s="1">
        <v>16</v>
      </c>
    </row>
    <row r="218" spans="1:12" ht="15" customHeight="1" x14ac:dyDescent="0.2">
      <c r="A218" s="1">
        <v>2006</v>
      </c>
      <c r="B218" s="1">
        <v>4</v>
      </c>
      <c r="C218" s="1">
        <v>7</v>
      </c>
      <c r="E218" s="1">
        <v>4</v>
      </c>
      <c r="F218" s="1">
        <v>24</v>
      </c>
      <c r="H218" s="1">
        <v>10</v>
      </c>
      <c r="I218" s="1">
        <v>21</v>
      </c>
      <c r="K218" s="1">
        <v>11</v>
      </c>
      <c r="L218" s="1">
        <v>15</v>
      </c>
    </row>
    <row r="219" spans="1:12" ht="15" customHeight="1" x14ac:dyDescent="0.2">
      <c r="A219" s="1">
        <v>2007</v>
      </c>
      <c r="B219" s="1">
        <v>3</v>
      </c>
      <c r="C219" s="1">
        <v>31</v>
      </c>
      <c r="E219" s="1">
        <v>4</v>
      </c>
      <c r="F219" s="1">
        <v>24</v>
      </c>
      <c r="H219" s="1">
        <v>10</v>
      </c>
      <c r="I219" s="1">
        <v>18</v>
      </c>
      <c r="K219" s="1">
        <v>10</v>
      </c>
      <c r="L219" s="1">
        <v>23</v>
      </c>
    </row>
    <row r="220" spans="1:12" ht="15" customHeight="1" x14ac:dyDescent="0.2">
      <c r="A220" s="1">
        <v>2008</v>
      </c>
      <c r="B220" s="1">
        <v>4</v>
      </c>
      <c r="C220" s="1">
        <v>11</v>
      </c>
      <c r="E220" s="1">
        <v>5</v>
      </c>
      <c r="F220" s="1">
        <v>2</v>
      </c>
      <c r="H220" s="1">
        <v>10</v>
      </c>
      <c r="I220" s="1">
        <v>13</v>
      </c>
      <c r="K220" s="1">
        <v>10</v>
      </c>
      <c r="L220" s="1">
        <v>23</v>
      </c>
    </row>
    <row r="221" spans="1:12" ht="15" customHeight="1" x14ac:dyDescent="0.2">
      <c r="A221" s="1">
        <v>2009</v>
      </c>
      <c r="B221" s="1">
        <v>4</v>
      </c>
      <c r="C221" s="1">
        <v>18</v>
      </c>
      <c r="E221" s="1">
        <v>4</v>
      </c>
      <c r="F221" s="1">
        <v>27</v>
      </c>
      <c r="H221" s="1">
        <v>10</v>
      </c>
      <c r="I221" s="1">
        <v>9</v>
      </c>
      <c r="K221" s="1">
        <v>10</v>
      </c>
      <c r="L221" s="1">
        <v>26</v>
      </c>
    </row>
    <row r="222" spans="1:12" ht="15" customHeight="1" x14ac:dyDescent="0.2">
      <c r="A222" s="1">
        <v>2010</v>
      </c>
      <c r="B222" s="1">
        <v>5</v>
      </c>
      <c r="C222" s="1">
        <v>1</v>
      </c>
      <c r="E222" s="1">
        <v>5</v>
      </c>
      <c r="F222" s="1">
        <v>13</v>
      </c>
      <c r="H222" s="1">
        <v>10</v>
      </c>
      <c r="I222" s="1">
        <v>24</v>
      </c>
      <c r="K222" s="1">
        <v>11</v>
      </c>
      <c r="L222" s="1">
        <v>8</v>
      </c>
    </row>
    <row r="223" spans="1:12" ht="15" customHeight="1" x14ac:dyDescent="0.2">
      <c r="A223" s="1">
        <v>2011</v>
      </c>
      <c r="B223" s="1">
        <v>5</v>
      </c>
      <c r="C223" s="1">
        <v>2</v>
      </c>
      <c r="E223" s="1">
        <v>5</v>
      </c>
      <c r="F223" s="1">
        <v>20</v>
      </c>
      <c r="H223" s="1">
        <v>10</v>
      </c>
      <c r="I223" s="1">
        <v>28</v>
      </c>
      <c r="K223" s="1">
        <v>11</v>
      </c>
      <c r="L223" s="1">
        <v>2</v>
      </c>
    </row>
    <row r="224" spans="1:12" ht="15" customHeight="1" x14ac:dyDescent="0.2">
      <c r="A224" s="1">
        <v>2012</v>
      </c>
      <c r="B224" s="1">
        <v>4</v>
      </c>
      <c r="C224" s="1">
        <v>15</v>
      </c>
      <c r="E224" s="1">
        <v>4</v>
      </c>
      <c r="F224" s="1">
        <v>16</v>
      </c>
      <c r="H224" s="1">
        <v>10</v>
      </c>
      <c r="I224" s="1">
        <v>25</v>
      </c>
      <c r="K224" s="1">
        <v>10</v>
      </c>
      <c r="L224" s="1">
        <v>27</v>
      </c>
    </row>
    <row r="225" spans="1:12" ht="15" customHeight="1" x14ac:dyDescent="0.2">
      <c r="A225" s="1">
        <v>2013</v>
      </c>
      <c r="B225" s="1">
        <v>4</v>
      </c>
      <c r="C225" s="1">
        <v>20</v>
      </c>
      <c r="E225" s="1">
        <v>4</v>
      </c>
      <c r="F225" s="1">
        <v>20</v>
      </c>
      <c r="H225" s="1">
        <v>10</v>
      </c>
      <c r="I225" s="1">
        <v>16</v>
      </c>
      <c r="K225" s="1">
        <v>10</v>
      </c>
      <c r="L225" s="1">
        <v>18</v>
      </c>
    </row>
    <row r="226" spans="1:12" ht="15" customHeight="1" x14ac:dyDescent="0.2">
      <c r="A226" s="1">
        <v>2014</v>
      </c>
      <c r="B226" s="1">
        <v>4</v>
      </c>
      <c r="C226" s="1">
        <v>4</v>
      </c>
      <c r="E226" s="1">
        <v>5</v>
      </c>
      <c r="F226" s="1">
        <v>8</v>
      </c>
      <c r="H226" s="1">
        <v>11</v>
      </c>
      <c r="I226" s="1">
        <v>10</v>
      </c>
      <c r="K226" s="1">
        <v>11</v>
      </c>
      <c r="L226" s="1">
        <v>17</v>
      </c>
    </row>
    <row r="227" spans="1:12" ht="15" customHeight="1" x14ac:dyDescent="0.2">
      <c r="A227" s="1">
        <v>2015</v>
      </c>
      <c r="B227" s="1">
        <v>4</v>
      </c>
      <c r="C227" s="1">
        <v>17</v>
      </c>
      <c r="E227" s="1">
        <v>5</v>
      </c>
      <c r="F227" s="1">
        <v>10</v>
      </c>
      <c r="H227" s="1">
        <v>11</v>
      </c>
      <c r="I227" s="1">
        <v>6</v>
      </c>
      <c r="K227" s="1">
        <v>11</v>
      </c>
      <c r="L227" s="1">
        <v>10</v>
      </c>
    </row>
    <row r="228" spans="1:12" ht="15" customHeight="1" x14ac:dyDescent="0.2">
      <c r="A228" s="1">
        <v>2016</v>
      </c>
      <c r="B228" s="1">
        <v>4</v>
      </c>
      <c r="C228" s="1">
        <v>1</v>
      </c>
      <c r="E228" s="1">
        <v>4</v>
      </c>
      <c r="F228" s="1">
        <v>27</v>
      </c>
      <c r="H228" s="1">
        <v>11</v>
      </c>
      <c r="I228" s="1">
        <v>21</v>
      </c>
      <c r="K228" s="1">
        <v>11</v>
      </c>
      <c r="L228" s="1">
        <v>21</v>
      </c>
    </row>
    <row r="229" spans="1:12" ht="15" customHeight="1" x14ac:dyDescent="0.2">
      <c r="A229" s="1">
        <v>2017</v>
      </c>
      <c r="B229" s="1">
        <v>4</v>
      </c>
      <c r="C229" s="1">
        <v>30</v>
      </c>
      <c r="E229" s="1">
        <v>5</v>
      </c>
      <c r="F229" s="1">
        <v>17</v>
      </c>
      <c r="H229" s="1">
        <v>10</v>
      </c>
      <c r="I229" s="1">
        <v>28</v>
      </c>
      <c r="K229" s="1">
        <v>11</v>
      </c>
      <c r="L229" s="1">
        <v>19</v>
      </c>
    </row>
    <row r="230" spans="1:12" ht="15" customHeight="1" x14ac:dyDescent="0.2">
      <c r="A230" s="1">
        <v>2018</v>
      </c>
      <c r="B230" s="1">
        <v>3</v>
      </c>
      <c r="C230" s="1">
        <v>20</v>
      </c>
      <c r="E230" s="1">
        <v>4</v>
      </c>
      <c r="F230" s="1">
        <v>18</v>
      </c>
      <c r="H230" s="1">
        <v>11</v>
      </c>
      <c r="I230" s="1">
        <v>1</v>
      </c>
      <c r="K230" s="1">
        <v>11</v>
      </c>
      <c r="L230" s="1">
        <v>11</v>
      </c>
    </row>
    <row r="231" spans="1:12" ht="15" customHeight="1" x14ac:dyDescent="0.2">
      <c r="A231" s="1">
        <v>2019</v>
      </c>
      <c r="B231" s="1">
        <v>4</v>
      </c>
      <c r="C231" s="1">
        <v>13</v>
      </c>
      <c r="E231" s="1">
        <v>5</v>
      </c>
      <c r="F231" s="1">
        <v>21</v>
      </c>
      <c r="H231" s="1">
        <v>10</v>
      </c>
      <c r="I231" s="1">
        <v>20</v>
      </c>
      <c r="K231" s="1">
        <v>10</v>
      </c>
      <c r="L231" s="1">
        <v>25</v>
      </c>
    </row>
    <row r="232" spans="1:12" ht="15" customHeight="1" x14ac:dyDescent="0.2">
      <c r="A232" s="1">
        <v>2020</v>
      </c>
      <c r="B232" s="1">
        <v>4</v>
      </c>
      <c r="C232" s="1">
        <v>16</v>
      </c>
      <c r="E232" s="1">
        <v>4</v>
      </c>
      <c r="F232" s="1">
        <v>16</v>
      </c>
      <c r="H232" s="1">
        <v>10</v>
      </c>
      <c r="I232" s="1">
        <v>28</v>
      </c>
      <c r="K232" s="1">
        <v>10</v>
      </c>
      <c r="L232" s="1">
        <v>28</v>
      </c>
    </row>
    <row r="233" spans="1:12" ht="15" customHeight="1" x14ac:dyDescent="0.2">
      <c r="A233" s="1">
        <v>2021</v>
      </c>
      <c r="B233" s="1">
        <v>4</v>
      </c>
      <c r="C233" s="1">
        <v>15</v>
      </c>
      <c r="E233" s="1">
        <v>5</v>
      </c>
      <c r="F233" s="1">
        <v>15</v>
      </c>
      <c r="H233" s="1">
        <v>10</v>
      </c>
      <c r="I233" s="1">
        <v>17</v>
      </c>
      <c r="K233" s="1">
        <v>10</v>
      </c>
      <c r="L233" s="1">
        <v>16</v>
      </c>
    </row>
    <row r="234" spans="1:12" ht="15" customHeight="1" x14ac:dyDescent="0.2">
      <c r="A234" s="1">
        <v>2022</v>
      </c>
      <c r="B234" s="1">
        <v>4</v>
      </c>
      <c r="C234" s="1">
        <v>15</v>
      </c>
      <c r="E234" s="1">
        <v>4</v>
      </c>
      <c r="F234" s="1">
        <v>17</v>
      </c>
      <c r="H234" s="1">
        <v>10</v>
      </c>
      <c r="I234" s="1">
        <v>25</v>
      </c>
      <c r="K234" s="1">
        <v>10</v>
      </c>
      <c r="L234" s="1">
        <v>25</v>
      </c>
    </row>
    <row r="235" spans="1:12" ht="15" customHeight="1" x14ac:dyDescent="0.2">
      <c r="A235" s="1">
        <v>2023</v>
      </c>
      <c r="B235" s="1">
        <v>4</v>
      </c>
      <c r="C235" s="1">
        <v>5</v>
      </c>
      <c r="E235" s="1">
        <v>4</v>
      </c>
      <c r="F235" s="1">
        <v>6</v>
      </c>
      <c r="H235" s="1">
        <v>10</v>
      </c>
      <c r="I235" s="1">
        <v>30</v>
      </c>
      <c r="K235" s="1">
        <v>11</v>
      </c>
      <c r="L235" s="1">
        <v>1</v>
      </c>
    </row>
    <row r="236" spans="1:12" ht="15" customHeight="1" x14ac:dyDescent="0.2">
      <c r="A236" s="1">
        <v>2024</v>
      </c>
      <c r="B236" s="1">
        <v>4</v>
      </c>
      <c r="C236" s="1">
        <v>7</v>
      </c>
      <c r="E236" s="1">
        <v>4</v>
      </c>
      <c r="F236" s="1">
        <v>7</v>
      </c>
      <c r="H236" s="1">
        <v>10</v>
      </c>
      <c r="I236" s="1">
        <v>30</v>
      </c>
      <c r="K236" s="1">
        <v>10</v>
      </c>
      <c r="L236" s="1">
        <v>30</v>
      </c>
    </row>
  </sheetData>
  <sheetProtection algorithmName="SHA-512" hashValue="EPfnypAvjC/vXqlcu87ylZ21Y+nuQdsVVOgngpGMSuXGWILDOhA9PiYs3SlnLPMEJuUEUOqPgaw8XpvKfmZ2TA==" saltValue="0t8N+HUs8JOHkucZo1RR/w==" spinCount="100000" sheet="1" objects="1" scenarios="1"/>
  <phoneticPr fontId="0" type="noConversion"/>
  <printOptions horizontalCentered="1" gridLines="1"/>
  <pageMargins left="0.75" right="0.75" top="1" bottom="0.75" header="0.5" footer="0.5"/>
  <pageSetup scale="95" fitToHeight="4" orientation="portrait" r:id="rId1"/>
  <headerFooter alignWithMargins="0">
    <oddFooter>&amp;R&amp;9redrock</oddFooter>
  </headerFooter>
  <rowBreaks count="3" manualBreakCount="3">
    <brk id="59" max="12" man="1"/>
    <brk id="118" max="12" man="1"/>
    <brk id="176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6"/>
  <sheetViews>
    <sheetView zoomScaleNormal="100" workbookViewId="0">
      <selection sqref="A1:XFD1"/>
    </sheetView>
  </sheetViews>
  <sheetFormatPr defaultColWidth="8.88671875" defaultRowHeight="15" customHeight="1" x14ac:dyDescent="0.2"/>
  <cols>
    <col min="1" max="13" width="6" style="1" customWidth="1"/>
    <col min="14" max="16384" width="8.88671875" style="1"/>
  </cols>
  <sheetData>
    <row r="1" spans="1:13" ht="15" customHeight="1" x14ac:dyDescent="0.2">
      <c r="A1" s="2" t="s">
        <v>9</v>
      </c>
      <c r="B1" s="2"/>
      <c r="C1" s="2"/>
      <c r="D1" s="2" t="s">
        <v>1</v>
      </c>
      <c r="E1" s="2"/>
      <c r="F1" s="2"/>
      <c r="G1" s="2"/>
      <c r="H1" s="2"/>
      <c r="I1" s="2"/>
      <c r="J1" s="13"/>
      <c r="K1" s="2"/>
      <c r="L1" s="2"/>
      <c r="M1" s="2"/>
    </row>
    <row r="2" spans="1:13" ht="15" customHeight="1" x14ac:dyDescent="0.2">
      <c r="A2" s="2"/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</row>
    <row r="3" spans="1:13" ht="15" customHeight="1" x14ac:dyDescent="0.2">
      <c r="A3" s="1">
        <v>1968</v>
      </c>
      <c r="B3" s="4">
        <v>0.83</v>
      </c>
      <c r="C3" s="4">
        <v>0.87</v>
      </c>
      <c r="D3" s="4">
        <v>0.57999999999999996</v>
      </c>
      <c r="E3" s="4">
        <v>0.26</v>
      </c>
      <c r="F3" s="4">
        <v>0.36</v>
      </c>
      <c r="G3" s="4">
        <v>0.34</v>
      </c>
      <c r="H3" s="4">
        <v>2.15</v>
      </c>
      <c r="I3" s="4">
        <v>2.15</v>
      </c>
      <c r="J3" s="4">
        <v>1.06</v>
      </c>
      <c r="K3" s="4">
        <v>1.19</v>
      </c>
      <c r="L3" s="4">
        <v>0.7</v>
      </c>
      <c r="M3" s="4">
        <v>1.06</v>
      </c>
    </row>
    <row r="4" spans="1:13" ht="15" customHeight="1" x14ac:dyDescent="0.2">
      <c r="A4" s="1">
        <v>1969</v>
      </c>
      <c r="B4" s="4">
        <v>0.53</v>
      </c>
      <c r="C4" s="4">
        <v>0.2</v>
      </c>
      <c r="D4" s="4">
        <v>0.2</v>
      </c>
      <c r="E4" s="4">
        <v>0</v>
      </c>
      <c r="F4" s="4">
        <v>0.47</v>
      </c>
      <c r="G4" s="4">
        <v>0.05</v>
      </c>
      <c r="H4" s="4">
        <v>2.0299999999999998</v>
      </c>
      <c r="I4" s="4">
        <v>1.94</v>
      </c>
      <c r="J4" s="4">
        <v>0.92</v>
      </c>
      <c r="K4" s="4">
        <v>0.57999999999999996</v>
      </c>
      <c r="L4" s="4">
        <v>0.59</v>
      </c>
      <c r="M4" s="4">
        <v>1.32</v>
      </c>
    </row>
    <row r="5" spans="1:13" ht="15" customHeight="1" x14ac:dyDescent="0.2">
      <c r="A5" s="1">
        <v>1970</v>
      </c>
      <c r="B5" s="4">
        <v>0</v>
      </c>
      <c r="C5" s="4">
        <v>0.85</v>
      </c>
      <c r="D5" s="4">
        <v>1.04</v>
      </c>
      <c r="E5" s="4">
        <v>0.11</v>
      </c>
      <c r="F5" s="4">
        <v>0.02</v>
      </c>
      <c r="G5" s="4">
        <v>7.0000000000000007E-2</v>
      </c>
      <c r="H5" s="4">
        <v>1.52</v>
      </c>
      <c r="I5" s="4">
        <v>1.88</v>
      </c>
      <c r="J5" s="4">
        <v>1.94</v>
      </c>
      <c r="K5" s="4">
        <v>1.33</v>
      </c>
      <c r="L5" s="4">
        <v>0</v>
      </c>
      <c r="M5" s="4">
        <v>0.42</v>
      </c>
    </row>
    <row r="6" spans="1:13" ht="15" customHeight="1" x14ac:dyDescent="0.2">
      <c r="A6" s="1">
        <v>1971</v>
      </c>
      <c r="B6" s="4">
        <v>0.42</v>
      </c>
      <c r="C6" s="4">
        <v>0.31</v>
      </c>
      <c r="D6" s="4">
        <v>0</v>
      </c>
      <c r="E6" s="4">
        <v>0</v>
      </c>
      <c r="F6" s="4">
        <v>0</v>
      </c>
      <c r="G6" s="4">
        <v>0</v>
      </c>
      <c r="H6" s="4">
        <v>1.02</v>
      </c>
      <c r="I6" s="4">
        <v>3.19</v>
      </c>
      <c r="J6" s="4">
        <v>1.26</v>
      </c>
      <c r="K6" s="4">
        <v>2.35</v>
      </c>
      <c r="L6" s="4">
        <v>0.24</v>
      </c>
      <c r="M6" s="4">
        <v>1.54</v>
      </c>
    </row>
    <row r="7" spans="1:13" ht="15" customHeight="1" x14ac:dyDescent="0.2">
      <c r="A7" s="1">
        <v>1972</v>
      </c>
      <c r="B7" s="4">
        <v>0</v>
      </c>
      <c r="C7" s="4">
        <v>0</v>
      </c>
      <c r="D7" s="4">
        <v>0.04</v>
      </c>
      <c r="E7" s="4">
        <v>0</v>
      </c>
      <c r="F7" s="4">
        <v>0.26</v>
      </c>
      <c r="G7" s="4">
        <v>1.1299999999999999</v>
      </c>
      <c r="H7" s="4">
        <v>1.71</v>
      </c>
      <c r="I7" s="4">
        <v>3.73</v>
      </c>
      <c r="J7" s="4">
        <v>0.93</v>
      </c>
      <c r="K7" s="4">
        <v>4.4000000000000004</v>
      </c>
      <c r="L7" s="4">
        <v>0.37</v>
      </c>
      <c r="M7" s="4">
        <v>1.06</v>
      </c>
    </row>
    <row r="8" spans="1:13" ht="15" customHeight="1" x14ac:dyDescent="0.2">
      <c r="A8" s="1">
        <v>1973</v>
      </c>
      <c r="B8" s="4">
        <v>0.64</v>
      </c>
      <c r="C8" s="4">
        <v>2.5</v>
      </c>
      <c r="D8" s="4">
        <v>1.7</v>
      </c>
      <c r="E8" s="4">
        <v>0</v>
      </c>
      <c r="F8" s="4">
        <v>0.82</v>
      </c>
      <c r="G8" s="4">
        <v>0.92</v>
      </c>
      <c r="H8" s="4">
        <v>2.68</v>
      </c>
      <c r="I8" s="4">
        <v>0.62</v>
      </c>
      <c r="J8" s="4">
        <v>0</v>
      </c>
      <c r="K8" s="4">
        <v>0</v>
      </c>
      <c r="L8" s="4">
        <v>0.22</v>
      </c>
      <c r="M8" s="4">
        <v>0</v>
      </c>
    </row>
    <row r="9" spans="1:13" ht="15" customHeight="1" x14ac:dyDescent="0.2">
      <c r="A9" s="1">
        <v>1974</v>
      </c>
      <c r="B9" s="4">
        <v>0.89</v>
      </c>
      <c r="C9" s="4">
        <v>0.11</v>
      </c>
      <c r="D9" s="4">
        <v>0.25</v>
      </c>
      <c r="E9" s="4">
        <v>0.05</v>
      </c>
      <c r="F9" s="4">
        <v>7.0000000000000007E-2</v>
      </c>
      <c r="G9" s="4">
        <v>0.02</v>
      </c>
      <c r="H9" s="4">
        <v>3.08</v>
      </c>
      <c r="I9" s="4">
        <v>2.09</v>
      </c>
      <c r="J9" s="4">
        <v>0.68</v>
      </c>
      <c r="K9" s="4">
        <v>1.69</v>
      </c>
      <c r="L9" s="4">
        <v>0.25</v>
      </c>
      <c r="M9" s="4">
        <v>0.33</v>
      </c>
    </row>
    <row r="10" spans="1:13" ht="15" customHeight="1" x14ac:dyDescent="0.2">
      <c r="A10" s="1">
        <v>1975</v>
      </c>
      <c r="B10" s="4">
        <v>1.3</v>
      </c>
      <c r="C10" s="4">
        <v>0.06</v>
      </c>
      <c r="D10" s="4">
        <v>0.95</v>
      </c>
      <c r="E10" s="4">
        <v>0.27</v>
      </c>
      <c r="F10" s="4">
        <v>0.06</v>
      </c>
      <c r="G10" s="4">
        <v>0</v>
      </c>
      <c r="H10" s="4">
        <v>1.35</v>
      </c>
      <c r="I10" s="4">
        <v>0.32</v>
      </c>
      <c r="J10" s="4">
        <v>2.73</v>
      </c>
      <c r="K10" s="4">
        <v>0.4</v>
      </c>
      <c r="L10" s="4">
        <v>0.82</v>
      </c>
      <c r="M10" s="4">
        <v>0.71</v>
      </c>
    </row>
    <row r="11" spans="1:13" ht="15" customHeight="1" x14ac:dyDescent="0.2">
      <c r="A11" s="1">
        <v>1976</v>
      </c>
      <c r="B11" s="4">
        <v>0.38</v>
      </c>
      <c r="C11" s="4">
        <v>0.65</v>
      </c>
      <c r="D11" s="4">
        <v>0.3</v>
      </c>
      <c r="E11" s="4">
        <v>0.52</v>
      </c>
      <c r="F11" s="4">
        <v>0.62</v>
      </c>
      <c r="G11" s="4">
        <v>0.39</v>
      </c>
      <c r="H11" s="4">
        <v>3.41</v>
      </c>
      <c r="I11" s="4">
        <v>0.38</v>
      </c>
      <c r="J11" s="4">
        <v>1.03</v>
      </c>
      <c r="K11" s="4">
        <v>1.44</v>
      </c>
      <c r="L11" s="4">
        <v>0.47</v>
      </c>
      <c r="M11" s="4">
        <v>0.09</v>
      </c>
    </row>
    <row r="12" spans="1:13" ht="15" customHeight="1" x14ac:dyDescent="0.2">
      <c r="A12" s="1">
        <v>1977</v>
      </c>
      <c r="B12" s="4">
        <v>1.37</v>
      </c>
      <c r="C12" s="4">
        <v>0.01</v>
      </c>
      <c r="D12" s="4">
        <v>0.37</v>
      </c>
      <c r="E12" s="4">
        <v>0.18</v>
      </c>
      <c r="F12" s="4">
        <v>0</v>
      </c>
      <c r="G12" s="4">
        <v>0.33</v>
      </c>
      <c r="H12" s="4">
        <v>6.1</v>
      </c>
      <c r="I12" s="4">
        <v>1.42</v>
      </c>
      <c r="J12" s="4">
        <v>0.65</v>
      </c>
      <c r="K12" s="4">
        <v>1</v>
      </c>
      <c r="L12" s="4">
        <v>0.11</v>
      </c>
      <c r="M12" s="4">
        <v>0.92</v>
      </c>
    </row>
    <row r="13" spans="1:13" ht="15" customHeight="1" x14ac:dyDescent="0.2">
      <c r="A13" s="1">
        <v>1978</v>
      </c>
      <c r="B13" s="4">
        <v>0.83</v>
      </c>
      <c r="C13" s="4">
        <v>0.87</v>
      </c>
      <c r="D13" s="4">
        <v>0.57999999999999996</v>
      </c>
      <c r="E13" s="4">
        <v>0.26</v>
      </c>
      <c r="F13" s="4">
        <v>0.36</v>
      </c>
      <c r="G13" s="4">
        <v>0.34</v>
      </c>
      <c r="H13" s="4">
        <v>2.15</v>
      </c>
      <c r="I13" s="4">
        <v>2.15</v>
      </c>
      <c r="J13" s="4">
        <v>1.06</v>
      </c>
      <c r="K13" s="4">
        <v>1.19</v>
      </c>
      <c r="L13" s="4">
        <v>0.7</v>
      </c>
      <c r="M13" s="4">
        <v>1.06</v>
      </c>
    </row>
    <row r="14" spans="1:13" ht="15" customHeight="1" x14ac:dyDescent="0.2">
      <c r="A14" s="1">
        <v>1979</v>
      </c>
      <c r="B14" s="4">
        <v>2.33</v>
      </c>
      <c r="C14" s="4">
        <v>0.77</v>
      </c>
      <c r="D14" s="4">
        <v>0.32</v>
      </c>
      <c r="E14" s="4">
        <v>0.48</v>
      </c>
      <c r="F14" s="4">
        <v>0.31</v>
      </c>
      <c r="G14" s="4">
        <v>0.4</v>
      </c>
      <c r="H14" s="4">
        <v>1.57</v>
      </c>
      <c r="I14" s="4">
        <v>1.32</v>
      </c>
      <c r="J14" s="4">
        <v>0.17</v>
      </c>
      <c r="K14" s="4">
        <v>0.13</v>
      </c>
      <c r="L14" s="4">
        <v>0.04</v>
      </c>
      <c r="M14" s="4">
        <v>0.52</v>
      </c>
    </row>
    <row r="15" spans="1:13" ht="15" customHeight="1" x14ac:dyDescent="0.2">
      <c r="A15" s="1">
        <v>1980</v>
      </c>
      <c r="B15" s="4">
        <v>0.8</v>
      </c>
      <c r="C15" s="4">
        <v>3.12</v>
      </c>
      <c r="D15" s="4">
        <v>0.28999999999999998</v>
      </c>
      <c r="E15" s="4">
        <v>0.24</v>
      </c>
      <c r="F15" s="4">
        <v>0.03</v>
      </c>
      <c r="G15" s="4">
        <v>0</v>
      </c>
      <c r="H15" s="4">
        <v>1.87</v>
      </c>
      <c r="I15" s="4">
        <v>2.17</v>
      </c>
      <c r="J15" s="4">
        <v>1.06</v>
      </c>
      <c r="K15" s="4">
        <v>0.14000000000000001</v>
      </c>
      <c r="L15" s="4">
        <v>0.4</v>
      </c>
      <c r="M15" s="4">
        <v>0</v>
      </c>
    </row>
    <row r="16" spans="1:13" ht="15" customHeight="1" x14ac:dyDescent="0.2">
      <c r="A16" s="1">
        <v>1981</v>
      </c>
      <c r="B16" s="4">
        <v>0.97</v>
      </c>
      <c r="C16" s="4">
        <v>0.44</v>
      </c>
      <c r="D16" s="4">
        <v>0.78</v>
      </c>
      <c r="E16" s="4">
        <v>0</v>
      </c>
      <c r="F16" s="4">
        <v>0.76</v>
      </c>
      <c r="G16" s="4">
        <v>0.69</v>
      </c>
      <c r="H16" s="4">
        <v>2.77</v>
      </c>
      <c r="I16" s="4">
        <v>1.91</v>
      </c>
      <c r="J16" s="4">
        <v>1.36</v>
      </c>
      <c r="K16" s="4">
        <v>0.74</v>
      </c>
      <c r="L16" s="4">
        <v>0.43</v>
      </c>
      <c r="M16" s="4">
        <v>0</v>
      </c>
    </row>
    <row r="17" spans="1:13" ht="15" customHeight="1" x14ac:dyDescent="0.2">
      <c r="A17" s="1">
        <v>1982</v>
      </c>
      <c r="B17" s="4">
        <v>1.1499999999999999</v>
      </c>
      <c r="C17" s="4">
        <v>1.03</v>
      </c>
      <c r="D17" s="4">
        <v>1.18</v>
      </c>
      <c r="E17" s="4">
        <v>0.15</v>
      </c>
      <c r="F17" s="4">
        <v>1.5</v>
      </c>
      <c r="G17" s="4">
        <v>0.21</v>
      </c>
      <c r="H17" s="4">
        <v>1.08</v>
      </c>
      <c r="I17" s="4">
        <v>1.64</v>
      </c>
      <c r="J17" s="4">
        <v>1.29</v>
      </c>
      <c r="K17" s="4">
        <v>7.0000000000000007E-2</v>
      </c>
      <c r="L17" s="4">
        <v>1.58</v>
      </c>
      <c r="M17" s="4">
        <v>2.4700000000000002</v>
      </c>
    </row>
    <row r="18" spans="1:13" ht="15" customHeight="1" x14ac:dyDescent="0.2">
      <c r="A18" s="1">
        <v>1983</v>
      </c>
      <c r="B18" s="4">
        <v>1.3</v>
      </c>
      <c r="C18" s="4">
        <v>1.32</v>
      </c>
      <c r="D18" s="4">
        <v>1.75</v>
      </c>
      <c r="E18" s="4">
        <v>0.01</v>
      </c>
      <c r="F18" s="4">
        <v>0.05</v>
      </c>
      <c r="G18" s="4">
        <v>0.05</v>
      </c>
      <c r="H18" s="4">
        <v>3.76</v>
      </c>
      <c r="I18" s="4">
        <v>1.41</v>
      </c>
      <c r="J18" s="4">
        <v>2.5499999999999998</v>
      </c>
      <c r="K18" s="4">
        <v>3.91</v>
      </c>
      <c r="L18" s="4">
        <v>1.91</v>
      </c>
      <c r="M18" s="4">
        <v>0.88</v>
      </c>
    </row>
    <row r="19" spans="1:13" ht="15" customHeight="1" x14ac:dyDescent="0.2">
      <c r="A19" s="1">
        <v>1984</v>
      </c>
      <c r="B19" s="4">
        <v>1.18</v>
      </c>
      <c r="C19" s="4">
        <v>0.02</v>
      </c>
      <c r="D19" s="4">
        <v>0.02</v>
      </c>
      <c r="E19" s="4">
        <v>0.83</v>
      </c>
      <c r="F19" s="4">
        <v>0.05</v>
      </c>
      <c r="G19" s="4">
        <v>0.34</v>
      </c>
      <c r="H19" s="4">
        <v>3</v>
      </c>
      <c r="I19" s="4">
        <v>1.94</v>
      </c>
      <c r="J19" s="4">
        <v>0.89</v>
      </c>
      <c r="K19" s="4">
        <v>2.4300000000000002</v>
      </c>
      <c r="L19" s="4">
        <v>0.31</v>
      </c>
      <c r="M19" s="4">
        <v>2.0499999999999998</v>
      </c>
    </row>
    <row r="20" spans="1:13" ht="15" customHeight="1" x14ac:dyDescent="0.2">
      <c r="A20" s="1">
        <v>1985</v>
      </c>
      <c r="B20" s="4">
        <v>0.93</v>
      </c>
      <c r="C20" s="4">
        <v>1.19</v>
      </c>
      <c r="D20" s="4">
        <v>0.94</v>
      </c>
      <c r="E20" s="4">
        <v>0.74</v>
      </c>
      <c r="F20" s="4">
        <v>0.4</v>
      </c>
      <c r="G20" s="4">
        <v>0</v>
      </c>
      <c r="H20" s="4">
        <v>4.82</v>
      </c>
      <c r="I20" s="4">
        <v>1.41</v>
      </c>
      <c r="J20" s="4">
        <v>2.12</v>
      </c>
      <c r="K20" s="4">
        <v>2.29</v>
      </c>
      <c r="L20" s="4">
        <v>1.1000000000000001</v>
      </c>
      <c r="M20" s="4">
        <v>0.6</v>
      </c>
    </row>
    <row r="21" spans="1:13" ht="15" customHeight="1" x14ac:dyDescent="0.2">
      <c r="A21" s="1">
        <v>1986</v>
      </c>
      <c r="B21" s="4">
        <v>0.05</v>
      </c>
      <c r="C21" s="4">
        <v>1.22</v>
      </c>
      <c r="D21" s="4">
        <v>0.86</v>
      </c>
      <c r="E21" s="4">
        <v>0</v>
      </c>
      <c r="F21" s="4">
        <v>0.05</v>
      </c>
      <c r="G21" s="4">
        <v>1.26</v>
      </c>
      <c r="H21" s="4">
        <v>3.11</v>
      </c>
      <c r="I21" s="4">
        <v>1.84</v>
      </c>
      <c r="J21" s="4">
        <v>1.1399999999999999</v>
      </c>
      <c r="K21" s="4">
        <v>1.1200000000000001</v>
      </c>
      <c r="L21" s="4">
        <v>1.83</v>
      </c>
      <c r="M21" s="4">
        <v>2.4900000000000002</v>
      </c>
    </row>
    <row r="22" spans="1:13" ht="15" customHeight="1" x14ac:dyDescent="0.2">
      <c r="A22" s="1">
        <v>1987</v>
      </c>
      <c r="B22" s="4">
        <v>0.45</v>
      </c>
      <c r="C22" s="4">
        <v>1.1000000000000001</v>
      </c>
      <c r="D22" s="4">
        <v>0.17</v>
      </c>
      <c r="E22" s="4">
        <v>0.56000000000000005</v>
      </c>
      <c r="F22" s="4">
        <v>0.4</v>
      </c>
      <c r="G22" s="4">
        <v>2.59</v>
      </c>
      <c r="H22" s="4">
        <v>3.59</v>
      </c>
      <c r="I22" s="4">
        <v>1.76</v>
      </c>
      <c r="J22" s="4">
        <v>0.22</v>
      </c>
      <c r="K22" s="4">
        <v>0.24</v>
      </c>
      <c r="L22" s="4">
        <v>0.22</v>
      </c>
      <c r="M22" s="4">
        <v>2.13</v>
      </c>
    </row>
    <row r="23" spans="1:13" ht="15" customHeight="1" x14ac:dyDescent="0.2">
      <c r="A23" s="1">
        <v>1988</v>
      </c>
      <c r="B23" s="4">
        <v>0.62</v>
      </c>
      <c r="C23" s="4">
        <v>1.3</v>
      </c>
      <c r="D23" s="4">
        <v>0.08</v>
      </c>
      <c r="E23" s="4">
        <v>1.33</v>
      </c>
      <c r="F23" s="4">
        <v>0</v>
      </c>
      <c r="G23" s="4">
        <v>0.12</v>
      </c>
      <c r="H23" s="4">
        <v>3.15</v>
      </c>
      <c r="I23" s="4">
        <v>3.3</v>
      </c>
      <c r="J23" s="4">
        <v>1.18</v>
      </c>
      <c r="K23" s="4">
        <v>1.62</v>
      </c>
      <c r="L23" s="4">
        <v>0.51</v>
      </c>
      <c r="M23" s="4">
        <v>0.24</v>
      </c>
    </row>
    <row r="24" spans="1:13" ht="15" customHeight="1" x14ac:dyDescent="0.2">
      <c r="A24" s="1">
        <v>1989</v>
      </c>
      <c r="B24" s="4">
        <v>0.96</v>
      </c>
      <c r="C24" s="4">
        <v>0.12</v>
      </c>
      <c r="D24" s="4">
        <v>0.14000000000000001</v>
      </c>
      <c r="E24" s="4">
        <v>0.06</v>
      </c>
      <c r="F24" s="4">
        <v>0.44</v>
      </c>
      <c r="G24" s="4">
        <v>0</v>
      </c>
      <c r="H24" s="4">
        <v>1.32</v>
      </c>
      <c r="I24" s="4">
        <v>1.06</v>
      </c>
      <c r="J24" s="4">
        <v>0.28999999999999998</v>
      </c>
      <c r="K24" s="4">
        <v>2.52</v>
      </c>
      <c r="L24" s="4">
        <v>0</v>
      </c>
      <c r="M24" s="4">
        <v>0.9</v>
      </c>
    </row>
    <row r="25" spans="1:13" ht="15" customHeight="1" x14ac:dyDescent="0.2">
      <c r="A25" s="1">
        <v>1990</v>
      </c>
      <c r="B25" s="4">
        <v>0.32</v>
      </c>
      <c r="C25" s="4">
        <v>0.52</v>
      </c>
      <c r="D25" s="4">
        <v>0.24</v>
      </c>
      <c r="E25" s="4">
        <v>0.08</v>
      </c>
      <c r="F25" s="4">
        <v>0.3</v>
      </c>
      <c r="G25" s="4">
        <v>0.09</v>
      </c>
      <c r="H25" s="4">
        <v>2.5</v>
      </c>
      <c r="I25" s="4">
        <v>2.13</v>
      </c>
      <c r="J25" s="4">
        <v>1.97</v>
      </c>
      <c r="K25" s="4">
        <v>0.63</v>
      </c>
      <c r="L25" s="4">
        <v>1.58</v>
      </c>
      <c r="M25" s="4">
        <v>1.71</v>
      </c>
    </row>
    <row r="26" spans="1:13" ht="15" customHeight="1" x14ac:dyDescent="0.2">
      <c r="A26" s="1">
        <v>1991</v>
      </c>
      <c r="B26" s="4">
        <v>0.62</v>
      </c>
      <c r="C26" s="4">
        <v>1.7</v>
      </c>
      <c r="D26" s="4">
        <v>1.54</v>
      </c>
      <c r="E26" s="4">
        <v>0</v>
      </c>
      <c r="F26" s="4">
        <v>0.03</v>
      </c>
      <c r="G26" s="4">
        <v>0.05</v>
      </c>
      <c r="H26" s="4">
        <v>1.37</v>
      </c>
      <c r="I26" s="4">
        <v>2.99</v>
      </c>
      <c r="J26" s="4">
        <v>1.5</v>
      </c>
      <c r="K26" s="4">
        <v>0.27</v>
      </c>
      <c r="L26" s="4">
        <v>0.86</v>
      </c>
      <c r="M26" s="4">
        <v>4.76</v>
      </c>
    </row>
    <row r="27" spans="1:13" ht="15" customHeight="1" x14ac:dyDescent="0.2">
      <c r="A27" s="1">
        <v>1992</v>
      </c>
      <c r="B27" s="4">
        <v>1.1399999999999999</v>
      </c>
      <c r="C27" s="4">
        <v>1.86</v>
      </c>
      <c r="D27" s="4">
        <v>1.64</v>
      </c>
      <c r="E27" s="4">
        <v>0.63</v>
      </c>
      <c r="F27" s="4">
        <v>3.62</v>
      </c>
      <c r="G27" s="4">
        <v>0.3</v>
      </c>
      <c r="H27" s="4">
        <v>1.4</v>
      </c>
      <c r="I27" s="4">
        <v>1.47</v>
      </c>
      <c r="J27" s="4">
        <v>0.5</v>
      </c>
      <c r="K27" s="4">
        <v>0.42</v>
      </c>
      <c r="L27" s="4">
        <v>0.01</v>
      </c>
      <c r="M27" s="4">
        <v>3.26</v>
      </c>
    </row>
    <row r="28" spans="1:13" ht="15" customHeight="1" x14ac:dyDescent="0.2">
      <c r="A28" s="1">
        <v>1993</v>
      </c>
      <c r="B28" s="4">
        <v>4.09</v>
      </c>
      <c r="C28" s="4">
        <v>1.72</v>
      </c>
      <c r="D28" s="4">
        <v>0.25</v>
      </c>
      <c r="E28" s="4">
        <v>0</v>
      </c>
      <c r="F28" s="4">
        <v>0.14000000000000001</v>
      </c>
      <c r="G28" s="4">
        <v>0</v>
      </c>
      <c r="H28" s="4">
        <v>1.25</v>
      </c>
      <c r="I28" s="4">
        <v>6.03</v>
      </c>
      <c r="J28" s="4">
        <v>0.06</v>
      </c>
      <c r="K28" s="4">
        <v>1.58</v>
      </c>
      <c r="L28" s="4">
        <v>0.64</v>
      </c>
      <c r="M28" s="4">
        <v>0.22</v>
      </c>
    </row>
    <row r="29" spans="1:13" ht="15" customHeight="1" x14ac:dyDescent="0.2">
      <c r="A29" s="1">
        <v>1994</v>
      </c>
      <c r="B29" s="4">
        <v>0.33</v>
      </c>
      <c r="C29" s="4">
        <v>1.03</v>
      </c>
      <c r="D29" s="4">
        <v>1.1200000000000001</v>
      </c>
      <c r="E29" s="4">
        <v>0</v>
      </c>
      <c r="F29" s="4">
        <v>0.7</v>
      </c>
      <c r="G29" s="4">
        <v>0.43</v>
      </c>
      <c r="H29" s="4">
        <v>1.07</v>
      </c>
      <c r="I29" s="4">
        <v>1.24</v>
      </c>
      <c r="J29" s="4">
        <v>0.39</v>
      </c>
      <c r="K29" s="4">
        <v>0.68</v>
      </c>
      <c r="L29" s="4">
        <v>2.71</v>
      </c>
      <c r="M29" s="4">
        <v>3.05</v>
      </c>
    </row>
    <row r="30" spans="1:13" ht="15" customHeight="1" x14ac:dyDescent="0.2">
      <c r="A30" s="1">
        <v>1995</v>
      </c>
      <c r="B30" s="4">
        <v>2.0099999999999998</v>
      </c>
      <c r="C30" s="4">
        <v>0.9</v>
      </c>
      <c r="D30" s="4">
        <v>0.43</v>
      </c>
      <c r="E30" s="4">
        <v>0.19</v>
      </c>
      <c r="F30" s="4">
        <v>0</v>
      </c>
      <c r="G30" s="4">
        <v>0</v>
      </c>
      <c r="H30" s="4">
        <v>0.48</v>
      </c>
      <c r="I30" s="4">
        <v>0.57999999999999996</v>
      </c>
      <c r="J30" s="4">
        <v>1.36</v>
      </c>
      <c r="K30" s="4">
        <v>0</v>
      </c>
      <c r="L30" s="4">
        <v>0.44</v>
      </c>
      <c r="M30" s="4">
        <v>0.36</v>
      </c>
    </row>
    <row r="31" spans="1:13" ht="15" customHeight="1" x14ac:dyDescent="0.2">
      <c r="A31" s="1">
        <v>1996</v>
      </c>
      <c r="B31" s="4">
        <v>0.17</v>
      </c>
      <c r="C31" s="4">
        <v>1.1599999999999999</v>
      </c>
      <c r="D31" s="4">
        <v>0</v>
      </c>
      <c r="E31" s="4">
        <v>0.01</v>
      </c>
      <c r="F31" s="4">
        <v>0</v>
      </c>
      <c r="G31" s="4">
        <v>0.2</v>
      </c>
      <c r="H31" s="4">
        <v>1.84</v>
      </c>
      <c r="I31" s="4">
        <v>5.56</v>
      </c>
      <c r="J31" s="4">
        <v>1.54</v>
      </c>
      <c r="K31" s="4">
        <v>1.96</v>
      </c>
      <c r="L31" s="4">
        <v>0.59</v>
      </c>
      <c r="M31" s="4">
        <v>0</v>
      </c>
    </row>
    <row r="32" spans="1:13" ht="15" customHeight="1" x14ac:dyDescent="0.2">
      <c r="A32" s="1">
        <v>1997</v>
      </c>
      <c r="B32" s="4">
        <v>1.75</v>
      </c>
      <c r="C32" s="4">
        <v>1.18</v>
      </c>
      <c r="D32" s="4">
        <v>0.22</v>
      </c>
      <c r="E32" s="4">
        <v>0.1</v>
      </c>
      <c r="F32" s="4">
        <v>1.18</v>
      </c>
      <c r="G32" s="4">
        <v>0.12</v>
      </c>
      <c r="H32" s="4">
        <v>0.84</v>
      </c>
      <c r="I32" s="4">
        <v>3.71</v>
      </c>
      <c r="J32" s="4">
        <v>2.61</v>
      </c>
      <c r="K32" s="4">
        <v>0.86</v>
      </c>
      <c r="L32" s="4">
        <v>1.48</v>
      </c>
      <c r="M32" s="4">
        <v>1.78</v>
      </c>
    </row>
    <row r="33" spans="1:13" ht="15" customHeight="1" x14ac:dyDescent="0.2">
      <c r="A33" s="1">
        <v>1998</v>
      </c>
      <c r="B33" s="4">
        <v>0.02</v>
      </c>
      <c r="C33" s="4">
        <v>1.53</v>
      </c>
      <c r="D33" s="4">
        <v>1.51</v>
      </c>
      <c r="E33" s="4">
        <v>0.12</v>
      </c>
      <c r="F33" s="4">
        <v>0</v>
      </c>
      <c r="G33" s="4">
        <v>0.02</v>
      </c>
      <c r="H33" s="4">
        <v>3.9</v>
      </c>
      <c r="I33" s="4">
        <v>1.56</v>
      </c>
      <c r="J33" s="4">
        <v>0.7</v>
      </c>
      <c r="K33" s="4">
        <v>0.69</v>
      </c>
      <c r="L33" s="4">
        <v>0.3</v>
      </c>
      <c r="M33" s="4">
        <v>0.32</v>
      </c>
    </row>
    <row r="34" spans="1:13" ht="15" customHeight="1" x14ac:dyDescent="0.2">
      <c r="A34" s="1">
        <v>1999</v>
      </c>
      <c r="B34" s="4">
        <v>0</v>
      </c>
      <c r="C34" s="4">
        <v>0</v>
      </c>
      <c r="D34" s="4">
        <v>0.03</v>
      </c>
      <c r="E34" s="4">
        <v>0.56999999999999995</v>
      </c>
      <c r="F34" s="4">
        <v>0</v>
      </c>
      <c r="G34" s="4">
        <v>0.31</v>
      </c>
      <c r="H34" s="4">
        <v>2.12</v>
      </c>
      <c r="I34" s="4">
        <v>3.76</v>
      </c>
      <c r="J34" s="4">
        <v>0.79</v>
      </c>
      <c r="K34" s="4">
        <v>0</v>
      </c>
      <c r="L34" s="4">
        <v>0</v>
      </c>
      <c r="M34" s="4">
        <v>0</v>
      </c>
    </row>
    <row r="35" spans="1:13" ht="15" customHeight="1" x14ac:dyDescent="0.2">
      <c r="A35" s="1">
        <v>2000</v>
      </c>
      <c r="B35" s="4">
        <v>0.04</v>
      </c>
      <c r="C35" s="4">
        <v>0.03</v>
      </c>
      <c r="D35" s="4">
        <v>0.36</v>
      </c>
      <c r="E35" s="4">
        <v>0</v>
      </c>
      <c r="F35" s="4">
        <v>0</v>
      </c>
      <c r="G35" s="4">
        <v>1.35</v>
      </c>
      <c r="H35" s="4">
        <v>0.2</v>
      </c>
      <c r="I35" s="4">
        <v>4.1500000000000004</v>
      </c>
      <c r="J35" s="4">
        <v>0</v>
      </c>
      <c r="K35" s="4">
        <v>4.09</v>
      </c>
      <c r="L35" s="4">
        <v>2.23</v>
      </c>
      <c r="M35" s="4">
        <v>0.09</v>
      </c>
    </row>
    <row r="36" spans="1:13" ht="15" customHeight="1" x14ac:dyDescent="0.2">
      <c r="A36" s="1">
        <v>2001</v>
      </c>
      <c r="B36" s="4">
        <v>0.95</v>
      </c>
      <c r="C36" s="4">
        <v>0.43</v>
      </c>
      <c r="D36" s="4">
        <v>0.27</v>
      </c>
      <c r="E36" s="4">
        <v>0.42</v>
      </c>
      <c r="F36" s="4">
        <v>0.2</v>
      </c>
      <c r="G36" s="4">
        <v>0.48</v>
      </c>
      <c r="H36" s="4">
        <v>0.99</v>
      </c>
      <c r="I36" s="4">
        <v>1.82</v>
      </c>
      <c r="J36" s="4">
        <v>0.44</v>
      </c>
      <c r="K36" s="4">
        <v>0.42</v>
      </c>
      <c r="L36" s="4">
        <v>0.15</v>
      </c>
      <c r="M36" s="4">
        <v>0.76</v>
      </c>
    </row>
    <row r="37" spans="1:13" ht="15" customHeight="1" x14ac:dyDescent="0.2">
      <c r="A37" s="1">
        <v>2002</v>
      </c>
      <c r="B37" s="4">
        <v>0.08</v>
      </c>
      <c r="C37" s="4">
        <v>0.45</v>
      </c>
      <c r="D37" s="4">
        <v>0.23</v>
      </c>
      <c r="E37" s="4">
        <v>0</v>
      </c>
      <c r="F37" s="4">
        <v>0</v>
      </c>
      <c r="G37" s="4">
        <v>0</v>
      </c>
      <c r="H37" s="4">
        <v>2.5</v>
      </c>
      <c r="I37" s="4">
        <v>2.99</v>
      </c>
      <c r="J37" s="4">
        <v>0.71</v>
      </c>
      <c r="K37" s="4">
        <v>1.0900000000000001</v>
      </c>
      <c r="L37" s="4">
        <v>0.23</v>
      </c>
      <c r="M37" s="4">
        <v>1.22</v>
      </c>
    </row>
    <row r="38" spans="1:13" ht="15" customHeight="1" x14ac:dyDescent="0.2">
      <c r="A38" s="1">
        <v>2003</v>
      </c>
      <c r="B38" s="4">
        <v>0.24</v>
      </c>
      <c r="C38" s="4">
        <v>0.57999999999999996</v>
      </c>
      <c r="D38" s="4">
        <v>0.49</v>
      </c>
      <c r="E38" s="4">
        <v>0.05</v>
      </c>
      <c r="F38" s="4">
        <v>0.02</v>
      </c>
      <c r="G38" s="4">
        <v>0.03</v>
      </c>
      <c r="H38" s="4">
        <v>0.89</v>
      </c>
      <c r="I38" s="4">
        <v>0.46</v>
      </c>
      <c r="J38" s="4">
        <v>0.1</v>
      </c>
      <c r="K38" s="4">
        <v>0.11</v>
      </c>
      <c r="L38" s="4">
        <v>1.18</v>
      </c>
      <c r="M38" s="4">
        <v>7.0000000000000007E-2</v>
      </c>
    </row>
    <row r="39" spans="1:13" ht="15" customHeight="1" x14ac:dyDescent="0.2">
      <c r="A39" s="1">
        <v>2004</v>
      </c>
      <c r="B39" s="4">
        <v>1.03</v>
      </c>
      <c r="C39" s="4">
        <v>1.01</v>
      </c>
      <c r="D39" s="4">
        <v>0.57999999999999996</v>
      </c>
      <c r="E39" s="4">
        <v>1.36</v>
      </c>
      <c r="F39" s="4">
        <v>0</v>
      </c>
      <c r="G39" s="4">
        <v>0.04</v>
      </c>
      <c r="H39" s="4">
        <v>0.94</v>
      </c>
      <c r="I39" s="4">
        <v>1.53</v>
      </c>
      <c r="J39" s="4">
        <v>1.96</v>
      </c>
      <c r="K39" s="4">
        <v>0.53</v>
      </c>
      <c r="L39" s="4">
        <v>0.61</v>
      </c>
      <c r="M39" s="4">
        <v>0.82</v>
      </c>
    </row>
    <row r="40" spans="1:13" ht="15" customHeight="1" x14ac:dyDescent="0.2">
      <c r="A40" s="1">
        <v>2005</v>
      </c>
      <c r="B40" s="4">
        <v>1.83</v>
      </c>
      <c r="C40" s="4">
        <v>3.17</v>
      </c>
      <c r="D40" s="4">
        <v>0.51</v>
      </c>
      <c r="E40" s="4">
        <v>0.28000000000000003</v>
      </c>
      <c r="F40" s="4">
        <v>0.56999999999999995</v>
      </c>
      <c r="G40" s="4">
        <v>0</v>
      </c>
      <c r="H40" s="4">
        <v>2.48</v>
      </c>
      <c r="I40" s="4">
        <v>0.66</v>
      </c>
      <c r="J40" s="4">
        <v>0.77</v>
      </c>
      <c r="K40" s="4">
        <v>0.27</v>
      </c>
      <c r="L40" s="4">
        <v>0</v>
      </c>
      <c r="M40" s="4">
        <v>0.12</v>
      </c>
    </row>
    <row r="41" spans="1:13" ht="15" customHeight="1" x14ac:dyDescent="0.2">
      <c r="A41" s="1">
        <v>2006</v>
      </c>
      <c r="B41" s="4">
        <v>0.26</v>
      </c>
      <c r="C41" s="4">
        <v>0</v>
      </c>
      <c r="D41" s="4">
        <v>0.14000000000000001</v>
      </c>
      <c r="E41" s="4">
        <v>0.05</v>
      </c>
      <c r="F41" s="4">
        <v>0.45</v>
      </c>
      <c r="G41" s="4">
        <v>0.88</v>
      </c>
      <c r="H41" s="4">
        <v>3.9</v>
      </c>
      <c r="I41" s="4">
        <v>4.63</v>
      </c>
      <c r="J41" s="4">
        <v>2.13</v>
      </c>
      <c r="K41" s="4">
        <v>3.65</v>
      </c>
      <c r="L41" s="4">
        <v>0</v>
      </c>
      <c r="M41" s="4">
        <v>0</v>
      </c>
    </row>
    <row r="42" spans="1:13" ht="15" customHeight="1" x14ac:dyDescent="0.2">
      <c r="A42" s="1">
        <v>2007</v>
      </c>
      <c r="B42" s="4">
        <v>1.26</v>
      </c>
      <c r="C42" s="4">
        <v>0.56000000000000005</v>
      </c>
      <c r="D42" s="4">
        <v>1.41</v>
      </c>
      <c r="E42" s="4">
        <v>0.24</v>
      </c>
      <c r="F42" s="4">
        <v>0.45</v>
      </c>
      <c r="G42" s="4">
        <v>0.35</v>
      </c>
      <c r="H42" s="4">
        <v>2.59</v>
      </c>
      <c r="I42" s="4">
        <v>4.5599999999999996</v>
      </c>
      <c r="J42" s="4">
        <v>1.39</v>
      </c>
      <c r="K42" s="4">
        <v>0</v>
      </c>
      <c r="L42" s="4">
        <v>0.31</v>
      </c>
      <c r="M42" s="4">
        <v>0.91</v>
      </c>
    </row>
    <row r="43" spans="1:13" ht="15" customHeight="1" x14ac:dyDescent="0.2">
      <c r="A43" s="1">
        <v>2008</v>
      </c>
      <c r="B43" s="4">
        <v>0.23</v>
      </c>
      <c r="C43" s="4">
        <v>0.15</v>
      </c>
      <c r="D43" s="4">
        <v>0</v>
      </c>
      <c r="E43" s="4">
        <v>0.02</v>
      </c>
      <c r="F43" s="4">
        <v>0.38</v>
      </c>
      <c r="G43" s="4">
        <v>0</v>
      </c>
      <c r="H43" s="4">
        <v>5.12</v>
      </c>
      <c r="I43" s="4">
        <v>2.77</v>
      </c>
      <c r="J43" s="4">
        <v>1.1100000000000001</v>
      </c>
      <c r="K43" s="4">
        <v>0.23</v>
      </c>
      <c r="L43" s="4">
        <v>0.33</v>
      </c>
      <c r="M43" s="4">
        <v>1.1000000000000001</v>
      </c>
    </row>
    <row r="44" spans="1:13" ht="15" customHeight="1" x14ac:dyDescent="0.2">
      <c r="A44" s="1">
        <v>2009</v>
      </c>
      <c r="B44" s="4">
        <v>0.27</v>
      </c>
      <c r="C44" s="4">
        <v>0.13</v>
      </c>
      <c r="D44" s="4">
        <v>0.45</v>
      </c>
      <c r="E44" s="4">
        <v>0.02</v>
      </c>
      <c r="F44" s="4">
        <v>0.14000000000000001</v>
      </c>
      <c r="G44" s="4">
        <v>1.51</v>
      </c>
      <c r="H44" s="4">
        <v>0.63</v>
      </c>
      <c r="I44" s="4">
        <v>1.0900000000000001</v>
      </c>
      <c r="J44" s="4">
        <v>0.98</v>
      </c>
      <c r="K44" s="4">
        <v>0.73</v>
      </c>
      <c r="L44" s="4">
        <v>0.41</v>
      </c>
      <c r="M44" s="4">
        <v>0.69</v>
      </c>
    </row>
    <row r="45" spans="1:13" ht="15" customHeight="1" x14ac:dyDescent="0.2">
      <c r="A45" s="1">
        <v>2010</v>
      </c>
      <c r="B45" s="4">
        <v>2.4500000000000002</v>
      </c>
      <c r="C45" s="4">
        <v>1.32</v>
      </c>
      <c r="D45" s="4">
        <v>0.5</v>
      </c>
      <c r="E45" s="4">
        <v>0.16</v>
      </c>
      <c r="F45" s="4">
        <v>0.15</v>
      </c>
      <c r="G45" s="4">
        <v>0.72</v>
      </c>
      <c r="H45" s="4">
        <v>2.93</v>
      </c>
      <c r="I45" s="4">
        <v>2.27</v>
      </c>
      <c r="J45" s="4">
        <v>1.43</v>
      </c>
      <c r="K45" s="4">
        <v>0.18</v>
      </c>
      <c r="L45" s="4">
        <v>0</v>
      </c>
      <c r="M45" s="4">
        <v>0.67</v>
      </c>
    </row>
    <row r="46" spans="1:13" ht="15" customHeight="1" x14ac:dyDescent="0.2">
      <c r="A46" s="1">
        <v>2011</v>
      </c>
      <c r="B46" s="4">
        <v>0.12</v>
      </c>
      <c r="C46" s="4">
        <v>0.12</v>
      </c>
      <c r="D46" s="4">
        <v>0</v>
      </c>
      <c r="E46" s="4">
        <v>0</v>
      </c>
      <c r="F46" s="4">
        <v>0</v>
      </c>
      <c r="G46" s="4">
        <v>0.2</v>
      </c>
      <c r="H46" s="4">
        <v>0.63</v>
      </c>
      <c r="I46" s="4">
        <v>1.08</v>
      </c>
      <c r="J46" s="4">
        <v>0.94</v>
      </c>
      <c r="K46" s="4">
        <v>0.3</v>
      </c>
      <c r="L46" s="4">
        <v>0.44</v>
      </c>
      <c r="M46" s="4">
        <v>1.64</v>
      </c>
    </row>
    <row r="47" spans="1:13" ht="15" customHeight="1" x14ac:dyDescent="0.2">
      <c r="A47" s="1">
        <v>2012</v>
      </c>
      <c r="B47" s="4">
        <v>0.16</v>
      </c>
      <c r="C47" s="4">
        <v>0.52</v>
      </c>
      <c r="D47" s="4">
        <v>0.27</v>
      </c>
      <c r="E47" s="4">
        <v>0.02</v>
      </c>
      <c r="F47" s="4">
        <v>0.02</v>
      </c>
      <c r="G47" s="4">
        <v>0</v>
      </c>
      <c r="H47" s="4">
        <v>1.51</v>
      </c>
      <c r="I47" s="4">
        <v>1.0900000000000001</v>
      </c>
      <c r="J47" s="4">
        <v>0.9</v>
      </c>
      <c r="K47" s="4">
        <v>0</v>
      </c>
      <c r="L47" s="4">
        <v>0.31</v>
      </c>
      <c r="M47" s="4">
        <v>0.66</v>
      </c>
    </row>
    <row r="48" spans="1:13" ht="15" customHeight="1" x14ac:dyDescent="0.2">
      <c r="A48" s="1">
        <v>2013</v>
      </c>
      <c r="B48" s="4">
        <v>0.51</v>
      </c>
      <c r="C48" s="4">
        <v>0.04</v>
      </c>
      <c r="D48" s="4">
        <v>0.12</v>
      </c>
      <c r="E48" s="4">
        <v>7.0000000000000007E-2</v>
      </c>
      <c r="F48" s="4">
        <v>7.0000000000000007E-2</v>
      </c>
      <c r="G48" s="4">
        <v>0</v>
      </c>
      <c r="H48" s="4">
        <v>3.79</v>
      </c>
      <c r="I48" s="4">
        <v>0.87</v>
      </c>
      <c r="J48" s="4">
        <v>2</v>
      </c>
      <c r="K48" s="4">
        <v>0.08</v>
      </c>
      <c r="L48" s="4">
        <v>1.05</v>
      </c>
      <c r="M48" s="4">
        <v>0.65</v>
      </c>
    </row>
    <row r="49" spans="1:15" ht="15" customHeight="1" x14ac:dyDescent="0.2">
      <c r="A49" s="1">
        <v>2014</v>
      </c>
      <c r="B49" s="4">
        <v>0</v>
      </c>
      <c r="C49" s="4">
        <v>0.08</v>
      </c>
      <c r="D49" s="4">
        <v>1.06</v>
      </c>
      <c r="E49" s="4">
        <v>0.15</v>
      </c>
      <c r="F49" s="4">
        <v>0.04</v>
      </c>
      <c r="G49" s="4">
        <v>0.01</v>
      </c>
      <c r="H49" s="4">
        <v>0.59</v>
      </c>
      <c r="I49" s="4">
        <v>6.17</v>
      </c>
      <c r="J49" s="4">
        <v>3.44</v>
      </c>
      <c r="K49" s="4">
        <v>0.88</v>
      </c>
      <c r="L49" s="4">
        <v>0.08</v>
      </c>
      <c r="M49" s="4">
        <v>0.97</v>
      </c>
    </row>
    <row r="50" spans="1:15" ht="15" customHeight="1" x14ac:dyDescent="0.2">
      <c r="A50" s="1">
        <v>2015</v>
      </c>
      <c r="B50" s="4">
        <v>2.1800000000000002</v>
      </c>
      <c r="C50" s="4">
        <v>0.17</v>
      </c>
      <c r="D50" s="4">
        <v>0.99</v>
      </c>
      <c r="E50" s="4">
        <v>0.24</v>
      </c>
      <c r="F50" s="4">
        <v>0.47</v>
      </c>
      <c r="G50" s="4">
        <v>0.3</v>
      </c>
      <c r="H50" s="4">
        <v>1.79</v>
      </c>
      <c r="I50" s="4">
        <v>2.62</v>
      </c>
      <c r="J50" s="4">
        <v>2.14</v>
      </c>
      <c r="K50" s="4">
        <v>1.3</v>
      </c>
      <c r="L50" s="4">
        <v>0.8</v>
      </c>
      <c r="M50" s="4">
        <v>0.34</v>
      </c>
    </row>
    <row r="51" spans="1:15" ht="15" customHeight="1" x14ac:dyDescent="0.2">
      <c r="A51" s="1">
        <v>2016</v>
      </c>
      <c r="B51" s="4">
        <v>1.22</v>
      </c>
      <c r="C51" s="4">
        <v>0.11</v>
      </c>
      <c r="D51" s="4">
        <v>7.0000000000000007E-2</v>
      </c>
      <c r="E51" s="4">
        <v>0.33</v>
      </c>
      <c r="F51" s="4">
        <v>0.11</v>
      </c>
      <c r="G51" s="4">
        <v>0.14000000000000001</v>
      </c>
      <c r="H51" s="4">
        <v>1.48</v>
      </c>
      <c r="I51" s="4">
        <v>0.66</v>
      </c>
      <c r="J51" s="4">
        <v>2.1</v>
      </c>
      <c r="K51" s="4">
        <v>0.16</v>
      </c>
      <c r="L51" s="4">
        <v>0.43</v>
      </c>
      <c r="M51" s="4">
        <v>2.02</v>
      </c>
    </row>
    <row r="52" spans="1:15" ht="15" customHeight="1" x14ac:dyDescent="0.2">
      <c r="A52" s="1">
        <v>2017</v>
      </c>
      <c r="B52" s="4">
        <v>1.04</v>
      </c>
      <c r="C52" s="4">
        <v>0.61</v>
      </c>
      <c r="D52" s="4">
        <v>0</v>
      </c>
      <c r="E52" s="4">
        <v>0.03</v>
      </c>
      <c r="F52" s="4">
        <v>0.11</v>
      </c>
      <c r="G52" s="4">
        <v>7.0000000000000007E-2</v>
      </c>
      <c r="H52" s="4">
        <v>0.84</v>
      </c>
      <c r="I52" s="4">
        <v>0.79</v>
      </c>
      <c r="J52" s="4">
        <v>0.28999999999999998</v>
      </c>
      <c r="K52" s="4">
        <v>0.68</v>
      </c>
      <c r="L52" s="4">
        <v>0.02</v>
      </c>
      <c r="M52" s="4">
        <v>0.52</v>
      </c>
    </row>
    <row r="53" spans="1:15" ht="15" customHeight="1" x14ac:dyDescent="0.2">
      <c r="A53" s="1">
        <v>2018</v>
      </c>
      <c r="B53" s="4">
        <v>0.16</v>
      </c>
      <c r="C53" s="4">
        <v>2.2999999999999998</v>
      </c>
      <c r="D53" s="4">
        <v>0.1</v>
      </c>
      <c r="E53" s="4">
        <v>0</v>
      </c>
      <c r="F53" s="4">
        <v>0</v>
      </c>
      <c r="G53" s="4">
        <v>0.24</v>
      </c>
      <c r="H53" s="4">
        <v>2.5099999999999998</v>
      </c>
      <c r="I53" s="4">
        <v>2.69</v>
      </c>
      <c r="J53" s="4">
        <v>3.63</v>
      </c>
      <c r="K53" s="4">
        <v>2.44</v>
      </c>
      <c r="L53" s="4">
        <v>0.03</v>
      </c>
      <c r="M53" s="4">
        <v>1.51</v>
      </c>
    </row>
    <row r="54" spans="1:15" ht="15" customHeight="1" x14ac:dyDescent="0.2">
      <c r="A54" s="1">
        <v>2019</v>
      </c>
      <c r="B54" s="4">
        <v>0.93</v>
      </c>
      <c r="C54" s="4">
        <v>1.01</v>
      </c>
      <c r="D54" s="4">
        <v>0.62</v>
      </c>
      <c r="E54" s="4">
        <v>0.17</v>
      </c>
      <c r="F54" s="4">
        <v>0.27</v>
      </c>
      <c r="G54" s="4">
        <v>0</v>
      </c>
      <c r="H54" s="4">
        <v>0.67</v>
      </c>
      <c r="I54" s="4">
        <v>1.61</v>
      </c>
      <c r="J54" s="4">
        <v>1.36</v>
      </c>
      <c r="K54" s="4">
        <v>0.19</v>
      </c>
      <c r="L54" s="4">
        <v>3.44</v>
      </c>
      <c r="M54" s="4">
        <v>1.58</v>
      </c>
      <c r="O54" s="4"/>
    </row>
    <row r="55" spans="1:15" ht="15" customHeight="1" x14ac:dyDescent="0.2">
      <c r="A55" s="1">
        <v>2020</v>
      </c>
      <c r="B55" s="4">
        <v>0.76</v>
      </c>
      <c r="C55" s="4">
        <v>0.94</v>
      </c>
      <c r="D55" s="4">
        <v>0.86</v>
      </c>
      <c r="E55" s="4">
        <v>0</v>
      </c>
      <c r="F55" s="4">
        <v>0.06</v>
      </c>
      <c r="G55" s="4">
        <v>0.41</v>
      </c>
      <c r="H55" s="4">
        <v>1.03</v>
      </c>
      <c r="I55" s="4">
        <v>0.38</v>
      </c>
      <c r="J55" s="4">
        <v>0.28000000000000003</v>
      </c>
      <c r="K55" s="4">
        <v>0.3</v>
      </c>
      <c r="L55" s="4">
        <v>0.08</v>
      </c>
      <c r="M55" s="4">
        <v>0.68</v>
      </c>
      <c r="O55" s="4"/>
    </row>
    <row r="56" spans="1:15" ht="15" customHeight="1" x14ac:dyDescent="0.2">
      <c r="A56" s="1">
        <v>2021</v>
      </c>
      <c r="B56" s="4">
        <v>1.05</v>
      </c>
      <c r="C56" s="4">
        <v>0.36</v>
      </c>
      <c r="D56" s="4">
        <v>0.04</v>
      </c>
      <c r="E56" s="4">
        <v>0.14000000000000001</v>
      </c>
      <c r="F56" s="4">
        <v>0.04</v>
      </c>
      <c r="G56" s="4">
        <v>0.44</v>
      </c>
      <c r="H56" s="4">
        <v>2.92</v>
      </c>
      <c r="I56" s="4">
        <v>1.1200000000000001</v>
      </c>
      <c r="J56" s="4">
        <v>1.68</v>
      </c>
      <c r="K56" s="4">
        <v>0.26</v>
      </c>
      <c r="L56" s="4">
        <v>0.01</v>
      </c>
      <c r="M56" s="4">
        <v>0.88</v>
      </c>
      <c r="O56" s="4"/>
    </row>
    <row r="57" spans="1:15" ht="15" customHeight="1" x14ac:dyDescent="0.2">
      <c r="A57" s="1">
        <v>2022</v>
      </c>
      <c r="B57" s="4">
        <v>0.6</v>
      </c>
      <c r="C57" s="4">
        <v>0.13</v>
      </c>
      <c r="D57" s="4">
        <v>0.32000000000000006</v>
      </c>
      <c r="E57" s="4">
        <v>0</v>
      </c>
      <c r="F57" s="4">
        <v>0</v>
      </c>
      <c r="G57" s="4">
        <v>3.5100000000000007</v>
      </c>
      <c r="H57" s="4">
        <v>1.69</v>
      </c>
      <c r="I57" s="4">
        <v>2.4000000000000004</v>
      </c>
      <c r="J57" s="4">
        <v>1.0900000000000001</v>
      </c>
      <c r="K57" s="4">
        <v>2.38</v>
      </c>
      <c r="L57" s="4">
        <v>0.03</v>
      </c>
      <c r="M57" s="4">
        <v>0.87</v>
      </c>
      <c r="O57" s="4"/>
    </row>
    <row r="58" spans="1:15" ht="15" customHeight="1" x14ac:dyDescent="0.2">
      <c r="A58" s="1">
        <v>2023</v>
      </c>
      <c r="B58" s="4">
        <v>0.81</v>
      </c>
      <c r="C58" s="4">
        <v>0.81</v>
      </c>
      <c r="D58" s="4">
        <v>0.22</v>
      </c>
      <c r="E58" s="4">
        <v>0</v>
      </c>
      <c r="F58" s="4">
        <v>0.41</v>
      </c>
      <c r="G58" s="4">
        <v>0</v>
      </c>
      <c r="H58" s="4">
        <v>0.41</v>
      </c>
      <c r="I58" s="4">
        <v>1.07</v>
      </c>
      <c r="J58" s="4">
        <v>0.99</v>
      </c>
      <c r="K58" s="4">
        <v>0.21</v>
      </c>
      <c r="L58" s="4">
        <v>0.11</v>
      </c>
      <c r="M58" s="4">
        <v>1.07</v>
      </c>
      <c r="O58" s="4"/>
    </row>
    <row r="59" spans="1:15" ht="15" customHeight="1" x14ac:dyDescent="0.2">
      <c r="A59" s="1">
        <v>2024</v>
      </c>
      <c r="B59" s="1">
        <v>1.4</v>
      </c>
      <c r="C59" s="1">
        <v>1.68</v>
      </c>
      <c r="D59" s="1">
        <v>0.72</v>
      </c>
      <c r="E59" s="1">
        <v>0.2</v>
      </c>
      <c r="F59" s="1">
        <v>0</v>
      </c>
      <c r="G59" s="1">
        <v>0.48</v>
      </c>
      <c r="H59" s="1">
        <v>1.05</v>
      </c>
      <c r="I59" s="1">
        <v>1.1200000000000001</v>
      </c>
      <c r="J59" s="1">
        <v>0.16</v>
      </c>
      <c r="K59" s="1">
        <v>0.01</v>
      </c>
      <c r="L59" s="1">
        <v>0.22</v>
      </c>
      <c r="M59" s="1">
        <v>0</v>
      </c>
      <c r="O59" s="4"/>
    </row>
    <row r="60" spans="1:15" ht="15" customHeight="1" x14ac:dyDescent="0.2">
      <c r="A60" s="2" t="s">
        <v>9</v>
      </c>
      <c r="B60" s="2"/>
      <c r="C60" s="2"/>
      <c r="D60" s="2" t="s">
        <v>2</v>
      </c>
      <c r="E60" s="2"/>
      <c r="F60" s="2"/>
      <c r="G60" s="2"/>
      <c r="H60" s="2"/>
      <c r="I60" s="2"/>
      <c r="J60" s="2"/>
      <c r="K60" s="2"/>
      <c r="L60" s="2"/>
      <c r="M60" s="2"/>
      <c r="O60" s="4"/>
    </row>
    <row r="61" spans="1:15" ht="15" customHeight="1" x14ac:dyDescent="0.2">
      <c r="A61" s="2"/>
      <c r="B61" s="5" t="s">
        <v>123</v>
      </c>
      <c r="C61" s="5" t="s">
        <v>124</v>
      </c>
      <c r="D61" s="5" t="s">
        <v>125</v>
      </c>
      <c r="E61" s="5" t="s">
        <v>126</v>
      </c>
      <c r="F61" s="5" t="s">
        <v>127</v>
      </c>
      <c r="G61" s="5" t="s">
        <v>128</v>
      </c>
      <c r="H61" s="5" t="s">
        <v>129</v>
      </c>
      <c r="I61" s="5" t="s">
        <v>130</v>
      </c>
      <c r="J61" s="5" t="s">
        <v>131</v>
      </c>
      <c r="K61" s="5" t="s">
        <v>132</v>
      </c>
      <c r="L61" s="5" t="s">
        <v>133</v>
      </c>
      <c r="M61" s="5" t="s">
        <v>134</v>
      </c>
      <c r="O61" s="4"/>
    </row>
    <row r="62" spans="1:15" ht="15" customHeight="1" x14ac:dyDescent="0.2">
      <c r="A62" s="1">
        <v>1968</v>
      </c>
      <c r="B62" s="9">
        <v>42.1</v>
      </c>
      <c r="C62" s="9">
        <v>45.7</v>
      </c>
      <c r="D62" s="9">
        <v>51.1</v>
      </c>
      <c r="E62" s="9">
        <v>57.8</v>
      </c>
      <c r="F62" s="9">
        <v>66.5</v>
      </c>
      <c r="G62" s="9">
        <v>75.599999999999994</v>
      </c>
      <c r="H62" s="9">
        <v>80.400000000000006</v>
      </c>
      <c r="I62" s="9">
        <v>78.400000000000006</v>
      </c>
      <c r="J62" s="9">
        <v>72.400000000000006</v>
      </c>
      <c r="K62" s="9">
        <v>60.9</v>
      </c>
      <c r="L62" s="9">
        <v>48.6</v>
      </c>
      <c r="M62" s="9">
        <v>41.4</v>
      </c>
      <c r="O62" s="4"/>
    </row>
    <row r="63" spans="1:15" ht="15" customHeight="1" x14ac:dyDescent="0.2">
      <c r="A63" s="1">
        <v>1969</v>
      </c>
      <c r="B63" s="9">
        <v>45.4</v>
      </c>
      <c r="C63" s="9">
        <v>44.4</v>
      </c>
      <c r="D63" s="9">
        <v>48.2</v>
      </c>
      <c r="E63" s="9">
        <v>59.8</v>
      </c>
      <c r="F63" s="9">
        <v>67</v>
      </c>
      <c r="G63" s="9">
        <v>74</v>
      </c>
      <c r="H63" s="9">
        <v>80.3</v>
      </c>
      <c r="I63" s="9">
        <v>80.3</v>
      </c>
      <c r="J63" s="9">
        <v>72.099999999999994</v>
      </c>
      <c r="K63" s="9">
        <v>59.7</v>
      </c>
      <c r="L63" s="9">
        <v>48</v>
      </c>
      <c r="M63" s="9">
        <v>43.6</v>
      </c>
      <c r="O63" s="4"/>
    </row>
    <row r="64" spans="1:15" ht="15" customHeight="1" x14ac:dyDescent="0.2">
      <c r="A64" s="1">
        <v>1970</v>
      </c>
      <c r="B64" s="9">
        <v>39.6</v>
      </c>
      <c r="C64" s="9">
        <v>46.3</v>
      </c>
      <c r="D64" s="9">
        <v>49.6</v>
      </c>
      <c r="E64" s="9">
        <v>54</v>
      </c>
      <c r="F64" s="9">
        <v>66</v>
      </c>
      <c r="G64" s="9">
        <v>75.3</v>
      </c>
      <c r="H64" s="9">
        <v>79.8</v>
      </c>
      <c r="I64" s="9">
        <v>78</v>
      </c>
      <c r="J64" s="9">
        <v>69.8</v>
      </c>
      <c r="K64" s="9">
        <v>54.8</v>
      </c>
      <c r="L64" s="9">
        <v>47.8</v>
      </c>
      <c r="M64" s="9">
        <v>41.4</v>
      </c>
      <c r="O64" s="4"/>
    </row>
    <row r="65" spans="1:15" ht="15" customHeight="1" x14ac:dyDescent="0.2">
      <c r="A65" s="1">
        <v>1971</v>
      </c>
      <c r="B65" s="9">
        <v>43</v>
      </c>
      <c r="C65" s="9">
        <v>45</v>
      </c>
      <c r="D65" s="9">
        <v>50.6</v>
      </c>
      <c r="E65" s="9">
        <v>57.3</v>
      </c>
      <c r="F65" s="9">
        <v>63.8</v>
      </c>
      <c r="G65" s="9">
        <v>73.400000000000006</v>
      </c>
      <c r="H65" s="9">
        <v>82</v>
      </c>
      <c r="I65" s="9">
        <v>76.5</v>
      </c>
      <c r="J65" s="9">
        <v>71.400000000000006</v>
      </c>
      <c r="K65" s="9">
        <v>56.7</v>
      </c>
      <c r="L65" s="9">
        <v>49.3</v>
      </c>
      <c r="M65" s="9">
        <v>40</v>
      </c>
      <c r="O65" s="4"/>
    </row>
    <row r="66" spans="1:15" ht="15" customHeight="1" x14ac:dyDescent="0.2">
      <c r="A66" s="1">
        <v>1972</v>
      </c>
      <c r="B66" s="9">
        <v>44.6</v>
      </c>
      <c r="C66" s="9">
        <v>45</v>
      </c>
      <c r="D66" s="9">
        <v>56.4</v>
      </c>
      <c r="E66" s="9">
        <v>57.8</v>
      </c>
      <c r="F66" s="9">
        <v>64.8</v>
      </c>
      <c r="G66" s="9">
        <v>72.5</v>
      </c>
      <c r="H66" s="9">
        <v>79.2</v>
      </c>
      <c r="I66" s="9">
        <v>76.8</v>
      </c>
      <c r="J66" s="9">
        <v>71.099999999999994</v>
      </c>
      <c r="K66" s="9">
        <v>62.1</v>
      </c>
      <c r="L66" s="9">
        <v>44.9</v>
      </c>
      <c r="M66" s="9">
        <v>41.4</v>
      </c>
      <c r="O66" s="4"/>
    </row>
    <row r="67" spans="1:15" ht="15" customHeight="1" x14ac:dyDescent="0.2">
      <c r="A67" s="1">
        <v>1973</v>
      </c>
      <c r="B67" s="9">
        <v>39.200000000000003</v>
      </c>
      <c r="C67" s="9">
        <v>44.3</v>
      </c>
      <c r="D67" s="9">
        <v>47.8</v>
      </c>
      <c r="E67" s="9">
        <v>53.3</v>
      </c>
      <c r="F67" s="9">
        <v>65.7</v>
      </c>
      <c r="G67" s="9">
        <v>72.2</v>
      </c>
      <c r="H67" s="9">
        <v>79.2</v>
      </c>
      <c r="I67" s="9">
        <v>76.900000000000006</v>
      </c>
      <c r="J67" s="9">
        <v>70</v>
      </c>
      <c r="K67" s="9">
        <v>59.4</v>
      </c>
      <c r="L67" s="9">
        <v>48.1</v>
      </c>
      <c r="M67" s="9">
        <v>39</v>
      </c>
    </row>
    <row r="68" spans="1:15" ht="15" customHeight="1" x14ac:dyDescent="0.2">
      <c r="A68" s="1">
        <v>1974</v>
      </c>
      <c r="B68" s="9">
        <v>42.6</v>
      </c>
      <c r="C68" s="9">
        <v>40.299999999999997</v>
      </c>
      <c r="D68" s="9">
        <v>53</v>
      </c>
      <c r="E68" s="9">
        <v>56.6</v>
      </c>
      <c r="F68" s="9">
        <v>63.9</v>
      </c>
      <c r="G68" s="9">
        <v>78.7</v>
      </c>
      <c r="H68" s="9">
        <v>79.2</v>
      </c>
      <c r="I68" s="9">
        <v>75.900000000000006</v>
      </c>
      <c r="J68" s="9">
        <v>71.5</v>
      </c>
      <c r="K68" s="9">
        <v>61.8</v>
      </c>
      <c r="L68" s="9">
        <v>48.1</v>
      </c>
      <c r="M68" s="9">
        <v>39</v>
      </c>
    </row>
    <row r="69" spans="1:15" ht="15" customHeight="1" x14ac:dyDescent="0.2">
      <c r="A69" s="1">
        <v>1975</v>
      </c>
      <c r="B69" s="9">
        <v>40.4</v>
      </c>
      <c r="C69" s="9">
        <v>43.8</v>
      </c>
      <c r="D69" s="9">
        <v>49.4</v>
      </c>
      <c r="E69" s="9">
        <v>52.4</v>
      </c>
      <c r="F69" s="9">
        <v>62.3</v>
      </c>
      <c r="G69" s="9">
        <v>72</v>
      </c>
      <c r="H69" s="9">
        <v>79.099999999999994</v>
      </c>
      <c r="I69" s="9">
        <v>78.5</v>
      </c>
      <c r="J69" s="9">
        <v>69.5</v>
      </c>
      <c r="K69" s="9">
        <v>58.3</v>
      </c>
      <c r="L69" s="9">
        <v>45.5</v>
      </c>
      <c r="M69" s="9">
        <v>40</v>
      </c>
    </row>
    <row r="70" spans="1:15" ht="15" customHeight="1" x14ac:dyDescent="0.2">
      <c r="A70" s="1">
        <v>1976</v>
      </c>
      <c r="B70" s="9">
        <v>37.4</v>
      </c>
      <c r="C70" s="9">
        <v>46.4</v>
      </c>
      <c r="D70" s="9">
        <v>47.3</v>
      </c>
      <c r="E70" s="9">
        <v>55.8</v>
      </c>
      <c r="F70" s="9">
        <v>64.2</v>
      </c>
      <c r="G70" s="9">
        <v>72</v>
      </c>
      <c r="H70" s="9">
        <v>77</v>
      </c>
      <c r="I70" s="9">
        <v>77.099999999999994</v>
      </c>
      <c r="J70" s="9">
        <v>69.8</v>
      </c>
      <c r="K70" s="9">
        <v>57.2</v>
      </c>
      <c r="L70" s="9">
        <v>46.3</v>
      </c>
      <c r="M70" s="9">
        <v>37.9</v>
      </c>
    </row>
    <row r="71" spans="1:15" ht="15" customHeight="1" x14ac:dyDescent="0.2">
      <c r="A71" s="1">
        <v>1977</v>
      </c>
      <c r="B71" s="9">
        <v>41.2</v>
      </c>
      <c r="C71" s="9">
        <v>44.5</v>
      </c>
      <c r="D71" s="9">
        <v>45.7</v>
      </c>
      <c r="E71" s="9">
        <v>57.5</v>
      </c>
      <c r="F71" s="9">
        <v>63.3</v>
      </c>
      <c r="G71" s="9">
        <v>75</v>
      </c>
      <c r="H71" s="9">
        <v>80.5</v>
      </c>
      <c r="I71" s="9">
        <v>79.3</v>
      </c>
      <c r="J71" s="9">
        <v>71.2</v>
      </c>
      <c r="K71" s="9">
        <v>62.4</v>
      </c>
      <c r="L71" s="9">
        <v>49.8</v>
      </c>
      <c r="M71" s="9">
        <v>44.5</v>
      </c>
    </row>
    <row r="72" spans="1:15" ht="15" customHeight="1" x14ac:dyDescent="0.2">
      <c r="A72" s="1">
        <v>1978</v>
      </c>
      <c r="B72" s="9">
        <v>42.1</v>
      </c>
      <c r="C72" s="9">
        <v>45.7</v>
      </c>
      <c r="D72" s="9">
        <v>51.1</v>
      </c>
      <c r="E72" s="9">
        <v>57.8</v>
      </c>
      <c r="F72" s="9">
        <v>66.5</v>
      </c>
      <c r="G72" s="9">
        <v>75.599999999999994</v>
      </c>
      <c r="H72" s="9">
        <v>80.400000000000006</v>
      </c>
      <c r="I72" s="9">
        <v>78.400000000000006</v>
      </c>
      <c r="J72" s="9">
        <v>72.400000000000006</v>
      </c>
      <c r="K72" s="9">
        <v>60.9</v>
      </c>
      <c r="L72" s="9">
        <v>48.6</v>
      </c>
      <c r="M72" s="9">
        <v>41.4</v>
      </c>
    </row>
    <row r="73" spans="1:15" ht="15" customHeight="1" x14ac:dyDescent="0.2">
      <c r="A73" s="1">
        <v>1979</v>
      </c>
      <c r="B73" s="9">
        <v>39.1</v>
      </c>
      <c r="C73" s="9">
        <v>43.4</v>
      </c>
      <c r="D73" s="9">
        <v>47.8</v>
      </c>
      <c r="E73" s="9">
        <v>55</v>
      </c>
      <c r="F73" s="9">
        <v>62.7</v>
      </c>
      <c r="G73" s="9">
        <v>72.400000000000006</v>
      </c>
      <c r="H73" s="9">
        <v>79.900000000000006</v>
      </c>
      <c r="I73" s="9">
        <v>75.400000000000006</v>
      </c>
      <c r="J73" s="9">
        <v>72.7</v>
      </c>
      <c r="K73" s="9">
        <v>61.2</v>
      </c>
      <c r="L73" s="9">
        <v>44.1</v>
      </c>
      <c r="M73" s="9">
        <v>40.9</v>
      </c>
    </row>
    <row r="74" spans="1:15" ht="15" customHeight="1" x14ac:dyDescent="0.2">
      <c r="A74" s="1">
        <v>1980</v>
      </c>
      <c r="B74" s="9">
        <v>42.1</v>
      </c>
      <c r="C74" s="9">
        <v>45.7</v>
      </c>
      <c r="D74" s="9">
        <v>51.1</v>
      </c>
      <c r="E74" s="9">
        <v>57.8</v>
      </c>
      <c r="F74" s="9">
        <v>66.5</v>
      </c>
      <c r="G74" s="9">
        <v>75.599999999999994</v>
      </c>
      <c r="H74" s="9">
        <v>80.400000000000006</v>
      </c>
      <c r="I74" s="9">
        <v>78.400000000000006</v>
      </c>
      <c r="J74" s="9">
        <v>72.400000000000006</v>
      </c>
      <c r="K74" s="9">
        <v>60.9</v>
      </c>
      <c r="L74" s="9">
        <v>48.6</v>
      </c>
      <c r="M74" s="9">
        <v>41.4</v>
      </c>
    </row>
    <row r="75" spans="1:15" ht="15" customHeight="1" x14ac:dyDescent="0.2">
      <c r="A75" s="1">
        <v>1981</v>
      </c>
      <c r="B75" s="9">
        <v>44.6</v>
      </c>
      <c r="C75" s="9">
        <v>46.9</v>
      </c>
      <c r="D75" s="9">
        <v>50.2</v>
      </c>
      <c r="E75" s="9">
        <v>61.4</v>
      </c>
      <c r="F75" s="9">
        <v>67.099999999999994</v>
      </c>
      <c r="G75" s="9">
        <v>78.7</v>
      </c>
      <c r="H75" s="9">
        <v>82.1</v>
      </c>
      <c r="I75" s="9">
        <v>78.400000000000006</v>
      </c>
      <c r="J75" s="9">
        <v>73</v>
      </c>
      <c r="K75" s="9">
        <v>60.8</v>
      </c>
      <c r="L75" s="9">
        <v>49.7</v>
      </c>
      <c r="M75" s="9">
        <v>42.7</v>
      </c>
    </row>
    <row r="76" spans="1:15" ht="15" customHeight="1" x14ac:dyDescent="0.2">
      <c r="A76" s="1">
        <v>1982</v>
      </c>
      <c r="B76" s="9">
        <v>42.8</v>
      </c>
      <c r="C76" s="9">
        <v>46.8</v>
      </c>
      <c r="D76" s="9">
        <v>50.6</v>
      </c>
      <c r="E76" s="9">
        <v>57.8</v>
      </c>
      <c r="F76" s="9">
        <v>64.8</v>
      </c>
      <c r="G76" s="9">
        <v>72.099999999999994</v>
      </c>
      <c r="H76" s="9">
        <v>80.5</v>
      </c>
      <c r="I76" s="9">
        <v>73.599999999999994</v>
      </c>
      <c r="J76" s="9">
        <v>72.900000000000006</v>
      </c>
      <c r="K76" s="9">
        <v>57.3</v>
      </c>
      <c r="L76" s="9">
        <v>48</v>
      </c>
      <c r="M76" s="9">
        <v>41.2</v>
      </c>
    </row>
    <row r="77" spans="1:15" ht="15" customHeight="1" x14ac:dyDescent="0.2">
      <c r="A77" s="1">
        <v>1983</v>
      </c>
      <c r="B77" s="9">
        <v>41.6</v>
      </c>
      <c r="C77" s="9">
        <v>45.4</v>
      </c>
      <c r="D77" s="9">
        <v>50.2</v>
      </c>
      <c r="E77" s="9">
        <v>51.3</v>
      </c>
      <c r="F77" s="9">
        <v>63</v>
      </c>
      <c r="G77" s="9">
        <v>71.7</v>
      </c>
      <c r="H77" s="9">
        <v>79.5</v>
      </c>
      <c r="I77" s="9">
        <v>79.2</v>
      </c>
      <c r="J77" s="9">
        <v>75.8</v>
      </c>
      <c r="K77" s="9">
        <v>62.6</v>
      </c>
      <c r="L77" s="9">
        <v>48.8</v>
      </c>
      <c r="M77" s="9">
        <v>42.1</v>
      </c>
    </row>
    <row r="78" spans="1:15" ht="15" customHeight="1" x14ac:dyDescent="0.2">
      <c r="A78" s="1">
        <v>1984</v>
      </c>
      <c r="B78" s="9">
        <v>41.6</v>
      </c>
      <c r="C78" s="9">
        <v>41.5</v>
      </c>
      <c r="D78" s="9">
        <v>49.3</v>
      </c>
      <c r="E78" s="9">
        <v>54.2</v>
      </c>
      <c r="F78" s="9">
        <v>68.8</v>
      </c>
      <c r="G78" s="9">
        <v>75.2</v>
      </c>
      <c r="H78" s="9">
        <v>79.599999999999994</v>
      </c>
      <c r="I78" s="9">
        <v>77.099999999999994</v>
      </c>
      <c r="J78" s="9">
        <v>71.7</v>
      </c>
      <c r="K78" s="9">
        <v>57.8</v>
      </c>
      <c r="L78" s="9">
        <v>47.4</v>
      </c>
      <c r="M78" s="9">
        <v>44</v>
      </c>
    </row>
    <row r="79" spans="1:15" ht="15" customHeight="1" x14ac:dyDescent="0.2">
      <c r="A79" s="1">
        <v>1985</v>
      </c>
      <c r="B79" s="9">
        <v>39.4</v>
      </c>
      <c r="C79" s="9">
        <v>43</v>
      </c>
      <c r="D79" s="9">
        <v>51.4</v>
      </c>
      <c r="E79" s="9">
        <v>58.8</v>
      </c>
      <c r="F79" s="9">
        <v>66.8</v>
      </c>
      <c r="G79" s="9">
        <v>75.400000000000006</v>
      </c>
      <c r="H79" s="9">
        <v>79.8</v>
      </c>
      <c r="I79" s="9">
        <v>77.599999999999994</v>
      </c>
      <c r="J79" s="9">
        <v>68.8</v>
      </c>
      <c r="K79" s="9">
        <v>59.7</v>
      </c>
      <c r="L79" s="9">
        <v>48.4</v>
      </c>
      <c r="M79" s="9">
        <v>42.3</v>
      </c>
    </row>
    <row r="80" spans="1:15" ht="15" customHeight="1" x14ac:dyDescent="0.2">
      <c r="A80" s="1">
        <v>1986</v>
      </c>
      <c r="B80" s="9">
        <v>44.2</v>
      </c>
      <c r="C80" s="9">
        <v>47.9</v>
      </c>
      <c r="D80" s="9">
        <v>53.6</v>
      </c>
      <c r="E80" s="9">
        <v>59.8</v>
      </c>
      <c r="F80" s="9">
        <v>66.400000000000006</v>
      </c>
      <c r="G80" s="9">
        <v>76.5</v>
      </c>
      <c r="H80" s="9">
        <v>78.599999999999994</v>
      </c>
      <c r="I80" s="9">
        <v>80.5</v>
      </c>
      <c r="J80" s="9">
        <v>70.400000000000006</v>
      </c>
      <c r="K80" s="9">
        <v>59.3</v>
      </c>
      <c r="L80" s="9">
        <v>49.2</v>
      </c>
      <c r="M80" s="9">
        <v>41.8</v>
      </c>
    </row>
    <row r="81" spans="1:13" ht="15" customHeight="1" x14ac:dyDescent="0.2">
      <c r="A81" s="1">
        <v>1987</v>
      </c>
      <c r="B81" s="9">
        <v>39.700000000000003</v>
      </c>
      <c r="C81" s="9">
        <v>43.3</v>
      </c>
      <c r="D81" s="9">
        <v>47.8</v>
      </c>
      <c r="E81" s="9">
        <v>58.6</v>
      </c>
      <c r="F81" s="9">
        <v>64.7</v>
      </c>
      <c r="G81" s="9">
        <v>75.099999999999994</v>
      </c>
      <c r="H81" s="9">
        <v>77.5</v>
      </c>
      <c r="I81" s="9">
        <v>76.8</v>
      </c>
      <c r="J81" s="9">
        <v>69.900000000000006</v>
      </c>
      <c r="K81" s="9">
        <v>64.8</v>
      </c>
      <c r="L81" s="9">
        <v>47.9</v>
      </c>
      <c r="M81" s="9">
        <v>39.9</v>
      </c>
    </row>
    <row r="82" spans="1:13" ht="15" customHeight="1" x14ac:dyDescent="0.2">
      <c r="A82" s="1">
        <v>1988</v>
      </c>
      <c r="B82" s="9">
        <v>40.700000000000003</v>
      </c>
      <c r="C82" s="9">
        <v>46.5</v>
      </c>
      <c r="D82" s="9">
        <v>49</v>
      </c>
      <c r="E82" s="9">
        <v>56.9</v>
      </c>
      <c r="F82" s="9">
        <v>66.099999999999994</v>
      </c>
      <c r="G82" s="9">
        <v>76.8</v>
      </c>
      <c r="H82" s="9">
        <v>80.8</v>
      </c>
      <c r="I82" s="9">
        <v>78.400000000000006</v>
      </c>
      <c r="J82" s="9">
        <v>69.5</v>
      </c>
      <c r="K82" s="9">
        <v>65</v>
      </c>
      <c r="L82" s="9">
        <v>49.1</v>
      </c>
      <c r="M82" s="9">
        <v>39.5</v>
      </c>
    </row>
    <row r="83" spans="1:13" ht="15" customHeight="1" x14ac:dyDescent="0.2">
      <c r="A83" s="1">
        <v>1989</v>
      </c>
      <c r="B83" s="9">
        <v>40.9</v>
      </c>
      <c r="C83" s="9">
        <v>48.2</v>
      </c>
      <c r="D83" s="9">
        <v>54.2</v>
      </c>
      <c r="E83" s="9">
        <v>62.9</v>
      </c>
      <c r="F83" s="9">
        <v>68.2</v>
      </c>
      <c r="G83" s="9">
        <v>76.3</v>
      </c>
      <c r="H83" s="9">
        <v>82.7</v>
      </c>
      <c r="I83" s="9">
        <v>80.2</v>
      </c>
      <c r="J83" s="9">
        <v>72.599999999999994</v>
      </c>
      <c r="K83" s="9">
        <v>60.5</v>
      </c>
      <c r="L83" s="9">
        <v>49</v>
      </c>
      <c r="M83" s="9">
        <v>38.299999999999997</v>
      </c>
    </row>
    <row r="84" spans="1:13" ht="15" customHeight="1" x14ac:dyDescent="0.2">
      <c r="A84" s="1">
        <v>1990</v>
      </c>
      <c r="B84" s="9">
        <v>40.9</v>
      </c>
      <c r="C84" s="9">
        <v>44.6</v>
      </c>
      <c r="D84" s="9">
        <v>53.5</v>
      </c>
      <c r="E84" s="9">
        <v>62.6</v>
      </c>
      <c r="F84" s="9">
        <v>67</v>
      </c>
      <c r="G84" s="9">
        <v>81.099999999999994</v>
      </c>
      <c r="H84" s="9">
        <v>79.400000000000006</v>
      </c>
      <c r="I84" s="9">
        <v>75.400000000000006</v>
      </c>
      <c r="J84" s="9">
        <v>74.400000000000006</v>
      </c>
      <c r="K84" s="9">
        <v>60.2</v>
      </c>
      <c r="L84" s="9">
        <v>50.6</v>
      </c>
      <c r="M84" s="9">
        <v>38.9</v>
      </c>
    </row>
    <row r="85" spans="1:13" ht="15" customHeight="1" x14ac:dyDescent="0.2">
      <c r="A85" s="1">
        <v>1991</v>
      </c>
      <c r="B85" s="9">
        <v>42.6</v>
      </c>
      <c r="C85" s="9">
        <v>48.3</v>
      </c>
      <c r="D85" s="9">
        <v>48.5</v>
      </c>
      <c r="E85" s="9">
        <v>56.6</v>
      </c>
      <c r="F85" s="9">
        <v>64.599999999999994</v>
      </c>
      <c r="G85" s="9">
        <v>72.099999999999994</v>
      </c>
      <c r="H85" s="9">
        <v>78.5</v>
      </c>
      <c r="I85" s="9">
        <v>77.599999999999994</v>
      </c>
      <c r="J85" s="9">
        <v>70.599999999999994</v>
      </c>
      <c r="K85" s="9">
        <v>61.8</v>
      </c>
      <c r="L85" s="9">
        <v>47.3</v>
      </c>
      <c r="M85" s="9">
        <v>43.5</v>
      </c>
    </row>
    <row r="86" spans="1:13" ht="15" customHeight="1" x14ac:dyDescent="0.2">
      <c r="A86" s="1">
        <v>1992</v>
      </c>
      <c r="B86" s="9">
        <v>40</v>
      </c>
      <c r="C86" s="9">
        <v>47.5</v>
      </c>
      <c r="D86" s="9">
        <v>52.1</v>
      </c>
      <c r="E86" s="9">
        <v>60.1</v>
      </c>
      <c r="F86" s="9">
        <v>66</v>
      </c>
      <c r="G86" s="9">
        <v>72.2</v>
      </c>
      <c r="H86" s="9">
        <v>77.900000000000006</v>
      </c>
      <c r="I86" s="9">
        <v>77.099999999999994</v>
      </c>
      <c r="J86" s="9">
        <v>71.7</v>
      </c>
      <c r="K86" s="9">
        <v>62</v>
      </c>
      <c r="L86" s="9">
        <v>44.2</v>
      </c>
      <c r="M86" s="9">
        <v>41.3</v>
      </c>
    </row>
    <row r="87" spans="1:13" ht="15" customHeight="1" x14ac:dyDescent="0.2">
      <c r="A87" s="1">
        <v>1993</v>
      </c>
      <c r="B87" s="9">
        <v>46.9</v>
      </c>
      <c r="C87" s="9">
        <v>46.1</v>
      </c>
      <c r="D87" s="9">
        <v>52.4</v>
      </c>
      <c r="E87" s="9">
        <v>57.8</v>
      </c>
      <c r="F87" s="9">
        <v>68.099999999999994</v>
      </c>
      <c r="G87" s="9">
        <v>75.099999999999994</v>
      </c>
      <c r="H87" s="9">
        <v>80.5</v>
      </c>
      <c r="I87" s="9">
        <v>78.7</v>
      </c>
      <c r="J87" s="9">
        <v>70.8</v>
      </c>
      <c r="K87" s="9">
        <v>60.3</v>
      </c>
      <c r="L87" s="9">
        <v>47.3</v>
      </c>
      <c r="M87" s="9">
        <v>41.2</v>
      </c>
    </row>
    <row r="88" spans="1:13" ht="15" customHeight="1" x14ac:dyDescent="0.2">
      <c r="A88" s="1">
        <v>1994</v>
      </c>
      <c r="B88" s="9">
        <v>40.9</v>
      </c>
      <c r="C88" s="9">
        <v>45.3</v>
      </c>
      <c r="D88" s="9">
        <v>53.8</v>
      </c>
      <c r="E88" s="9">
        <v>59</v>
      </c>
      <c r="F88" s="9">
        <v>66.900000000000006</v>
      </c>
      <c r="G88" s="9">
        <v>81.2</v>
      </c>
      <c r="H88" s="9">
        <v>81.5</v>
      </c>
      <c r="I88" s="9">
        <v>81.7</v>
      </c>
      <c r="J88" s="9">
        <v>74.3</v>
      </c>
      <c r="K88" s="9">
        <v>60.8</v>
      </c>
      <c r="L88" s="9">
        <v>48.8</v>
      </c>
      <c r="M88" s="9">
        <v>45.3</v>
      </c>
    </row>
    <row r="89" spans="1:13" ht="15" customHeight="1" x14ac:dyDescent="0.2">
      <c r="A89" s="1">
        <v>1995</v>
      </c>
      <c r="B89" s="9">
        <v>43.2</v>
      </c>
      <c r="C89" s="9">
        <v>50.4</v>
      </c>
      <c r="D89" s="9">
        <v>52</v>
      </c>
      <c r="E89" s="9">
        <v>54.9</v>
      </c>
      <c r="F89" s="9">
        <v>64</v>
      </c>
      <c r="G89" s="9">
        <v>73.7</v>
      </c>
      <c r="H89" s="9">
        <v>78.8</v>
      </c>
      <c r="I89" s="9">
        <v>80.8</v>
      </c>
      <c r="J89" s="9">
        <v>73.5</v>
      </c>
      <c r="K89" s="9">
        <v>62</v>
      </c>
      <c r="L89" s="9">
        <v>53.5</v>
      </c>
      <c r="M89" s="9">
        <v>43.6</v>
      </c>
    </row>
    <row r="90" spans="1:13" ht="15" customHeight="1" x14ac:dyDescent="0.2">
      <c r="A90" s="1">
        <v>1996</v>
      </c>
      <c r="B90" s="9">
        <v>42.5</v>
      </c>
      <c r="C90" s="9">
        <v>52.3</v>
      </c>
      <c r="D90" s="9">
        <v>51.1</v>
      </c>
      <c r="E90" s="9">
        <v>59.9</v>
      </c>
      <c r="F90" s="9">
        <v>70.3</v>
      </c>
      <c r="G90" s="9">
        <v>79.3</v>
      </c>
      <c r="H90" s="9">
        <v>83.1</v>
      </c>
      <c r="I90" s="9">
        <v>79.2</v>
      </c>
      <c r="J90" s="9">
        <v>70.7</v>
      </c>
      <c r="K90" s="9">
        <v>61.2</v>
      </c>
      <c r="L90" s="9">
        <v>50.7</v>
      </c>
      <c r="M90" s="9">
        <v>42.1</v>
      </c>
    </row>
    <row r="91" spans="1:13" ht="15" customHeight="1" x14ac:dyDescent="0.2">
      <c r="A91" s="1">
        <v>1997</v>
      </c>
      <c r="B91" s="9">
        <v>43.1</v>
      </c>
      <c r="C91" s="9">
        <v>45.4</v>
      </c>
      <c r="D91" s="9">
        <v>53.6</v>
      </c>
      <c r="E91" s="9">
        <v>57.7</v>
      </c>
      <c r="F91" s="9">
        <v>70.5</v>
      </c>
      <c r="G91" s="9">
        <v>74.7</v>
      </c>
      <c r="H91" s="9">
        <v>80.5</v>
      </c>
      <c r="I91" s="9">
        <v>79.7</v>
      </c>
      <c r="J91" s="9">
        <v>76.900000000000006</v>
      </c>
      <c r="K91" s="9">
        <v>59.9</v>
      </c>
      <c r="L91" s="9">
        <v>50.3</v>
      </c>
      <c r="M91" s="9">
        <v>40.1</v>
      </c>
    </row>
    <row r="92" spans="1:13" ht="15" customHeight="1" x14ac:dyDescent="0.2">
      <c r="A92" s="1">
        <v>1998</v>
      </c>
      <c r="B92" s="9">
        <v>42.5</v>
      </c>
      <c r="C92" s="9">
        <v>43.9</v>
      </c>
      <c r="D92" s="9">
        <v>50.5</v>
      </c>
      <c r="E92" s="9">
        <v>54.7</v>
      </c>
      <c r="F92" s="9">
        <v>65.5</v>
      </c>
      <c r="G92" s="9">
        <v>74.2</v>
      </c>
      <c r="H92" s="9">
        <v>81.8</v>
      </c>
      <c r="I92" s="9">
        <v>79.8</v>
      </c>
      <c r="J92" s="9">
        <v>75.5</v>
      </c>
      <c r="K92" s="9">
        <v>62.5</v>
      </c>
      <c r="L92" s="9">
        <v>50.8</v>
      </c>
      <c r="M92" s="9">
        <v>43.2</v>
      </c>
    </row>
    <row r="93" spans="1:13" ht="15" customHeight="1" x14ac:dyDescent="0.2">
      <c r="A93" s="1">
        <v>1999</v>
      </c>
      <c r="B93" s="9">
        <v>43.7</v>
      </c>
      <c r="C93" s="9">
        <v>47</v>
      </c>
      <c r="D93" s="9">
        <v>54.3</v>
      </c>
      <c r="E93" s="9">
        <v>57.4</v>
      </c>
      <c r="F93" s="9">
        <v>67.900000000000006</v>
      </c>
      <c r="G93" s="9">
        <v>76.2</v>
      </c>
      <c r="H93" s="9">
        <v>79.900000000000006</v>
      </c>
      <c r="I93" s="9">
        <v>78.8</v>
      </c>
      <c r="J93" s="9">
        <v>75.5</v>
      </c>
      <c r="K93" s="9">
        <v>61.8</v>
      </c>
      <c r="L93" s="9">
        <v>52.7</v>
      </c>
      <c r="M93" s="9">
        <v>40.5</v>
      </c>
    </row>
    <row r="94" spans="1:13" ht="15" customHeight="1" x14ac:dyDescent="0.2">
      <c r="A94" s="1">
        <v>2000</v>
      </c>
      <c r="B94" s="9">
        <v>44.4</v>
      </c>
      <c r="C94" s="9">
        <v>49</v>
      </c>
      <c r="D94" s="9">
        <v>52.5</v>
      </c>
      <c r="E94" s="9">
        <v>63.3</v>
      </c>
      <c r="F94" s="9">
        <v>73.099999999999994</v>
      </c>
      <c r="G94" s="9">
        <v>79.900000000000006</v>
      </c>
      <c r="H94" s="9">
        <v>83.8</v>
      </c>
      <c r="I94" s="9">
        <v>80.599999999999994</v>
      </c>
      <c r="J94" s="9">
        <v>75.900000000000006</v>
      </c>
      <c r="K94" s="9">
        <v>61.9</v>
      </c>
      <c r="L94" s="9">
        <v>45.4</v>
      </c>
      <c r="M94" s="9">
        <v>42.5</v>
      </c>
    </row>
    <row r="95" spans="1:13" ht="15" customHeight="1" x14ac:dyDescent="0.2">
      <c r="A95" s="1">
        <v>2001</v>
      </c>
      <c r="B95" s="9">
        <v>41.1</v>
      </c>
      <c r="C95" s="9">
        <v>45.1</v>
      </c>
      <c r="D95" s="9">
        <v>51.5</v>
      </c>
      <c r="E95" s="9">
        <v>59.9</v>
      </c>
      <c r="F95" s="9">
        <v>70.900000000000006</v>
      </c>
      <c r="G95" s="9">
        <v>78.5</v>
      </c>
      <c r="H95" s="9">
        <v>81.7</v>
      </c>
      <c r="I95" s="9">
        <v>79.7</v>
      </c>
      <c r="J95" s="9">
        <v>74</v>
      </c>
      <c r="K95" s="9">
        <v>64.7</v>
      </c>
      <c r="L95" s="9">
        <v>53.5</v>
      </c>
      <c r="M95" s="9">
        <v>40.5</v>
      </c>
    </row>
    <row r="96" spans="1:13" ht="15" customHeight="1" x14ac:dyDescent="0.2">
      <c r="A96" s="1">
        <v>2002</v>
      </c>
      <c r="B96" s="9">
        <v>41.5</v>
      </c>
      <c r="C96" s="9">
        <v>45.5</v>
      </c>
      <c r="D96" s="9">
        <v>50.5</v>
      </c>
      <c r="E96" s="9">
        <v>64.400000000000006</v>
      </c>
      <c r="F96" s="9">
        <v>68.2</v>
      </c>
      <c r="G96" s="9">
        <v>80.8</v>
      </c>
      <c r="H96" s="9">
        <v>82.2</v>
      </c>
      <c r="I96" s="9">
        <v>79.900000000000006</v>
      </c>
      <c r="J96" s="9">
        <v>74.599999999999994</v>
      </c>
      <c r="K96" s="9">
        <v>61.4</v>
      </c>
      <c r="L96" s="9">
        <v>49.7</v>
      </c>
      <c r="M96" s="9">
        <v>42.3</v>
      </c>
    </row>
    <row r="97" spans="1:13" ht="15" customHeight="1" x14ac:dyDescent="0.2">
      <c r="A97" s="1">
        <v>2003</v>
      </c>
      <c r="B97" s="9">
        <v>46.9</v>
      </c>
      <c r="C97" s="9">
        <v>47.1</v>
      </c>
      <c r="D97" s="9">
        <v>51.1</v>
      </c>
      <c r="E97" s="9">
        <v>58.4</v>
      </c>
      <c r="F97" s="9">
        <v>69.900000000000006</v>
      </c>
      <c r="G97" s="9">
        <v>77.8</v>
      </c>
      <c r="H97" s="9">
        <v>85.3</v>
      </c>
      <c r="I97" s="9">
        <v>82.8</v>
      </c>
      <c r="J97" s="9">
        <v>76.400000000000006</v>
      </c>
      <c r="K97" s="9">
        <v>67.3</v>
      </c>
      <c r="L97" s="9">
        <v>50.9</v>
      </c>
      <c r="M97" s="9">
        <v>41.2</v>
      </c>
    </row>
    <row r="98" spans="1:13" ht="15" customHeight="1" x14ac:dyDescent="0.2">
      <c r="A98" s="1">
        <v>2004</v>
      </c>
      <c r="B98" s="9">
        <v>44.6</v>
      </c>
      <c r="C98" s="9">
        <v>43.7</v>
      </c>
      <c r="D98" s="9">
        <v>57.4</v>
      </c>
      <c r="E98" s="9">
        <v>58.9</v>
      </c>
      <c r="F98" s="9">
        <v>69.5</v>
      </c>
      <c r="G98" s="9">
        <v>76.8</v>
      </c>
      <c r="H98" s="9">
        <v>80.7</v>
      </c>
      <c r="I98" s="9">
        <v>78.099999999999994</v>
      </c>
      <c r="J98" s="9">
        <v>71.5</v>
      </c>
      <c r="K98" s="9">
        <v>61.3</v>
      </c>
      <c r="L98" s="9">
        <v>48.6</v>
      </c>
      <c r="M98" s="9">
        <v>42.1</v>
      </c>
    </row>
    <row r="99" spans="1:13" ht="15" customHeight="1" x14ac:dyDescent="0.2">
      <c r="A99" s="1">
        <v>2005</v>
      </c>
      <c r="B99" s="9">
        <v>46.3</v>
      </c>
      <c r="C99" s="9">
        <v>48</v>
      </c>
      <c r="D99" s="9">
        <v>49.8</v>
      </c>
      <c r="E99" s="9">
        <v>59</v>
      </c>
      <c r="F99" s="9">
        <v>69.599999999999994</v>
      </c>
      <c r="G99" s="9">
        <v>73.3</v>
      </c>
      <c r="H99" s="9">
        <v>82.6</v>
      </c>
      <c r="I99" s="9">
        <v>79.8</v>
      </c>
      <c r="J99" s="9">
        <v>75.2</v>
      </c>
      <c r="K99" s="9">
        <v>63.7</v>
      </c>
      <c r="L99" s="9">
        <v>50.5</v>
      </c>
      <c r="M99" s="9">
        <v>42.68</v>
      </c>
    </row>
    <row r="100" spans="1:13" ht="15" customHeight="1" x14ac:dyDescent="0.2">
      <c r="A100" s="1">
        <v>2006</v>
      </c>
      <c r="B100" s="9">
        <v>43</v>
      </c>
      <c r="C100" s="9">
        <v>47.6</v>
      </c>
      <c r="D100" s="9">
        <v>52.2</v>
      </c>
      <c r="E100" s="9">
        <v>59.5</v>
      </c>
      <c r="F100" s="9">
        <v>67.5</v>
      </c>
      <c r="G100" s="9">
        <v>77.3</v>
      </c>
      <c r="H100" s="9">
        <v>79.5</v>
      </c>
      <c r="I100" s="9">
        <v>74.7</v>
      </c>
      <c r="J100" s="9">
        <v>66.900000000000006</v>
      </c>
      <c r="K100" s="9">
        <v>59.7</v>
      </c>
      <c r="L100" s="9">
        <v>50.2</v>
      </c>
      <c r="M100" s="9">
        <v>40.4</v>
      </c>
    </row>
    <row r="101" spans="1:13" ht="15" customHeight="1" x14ac:dyDescent="0.2">
      <c r="A101" s="1">
        <v>2007</v>
      </c>
      <c r="B101" s="9">
        <v>38.9</v>
      </c>
      <c r="C101" s="9">
        <v>46.9</v>
      </c>
      <c r="D101" s="9">
        <v>51.9</v>
      </c>
      <c r="E101" s="9">
        <v>60.9</v>
      </c>
      <c r="F101" s="9">
        <v>70.400000000000006</v>
      </c>
      <c r="G101" s="9">
        <v>78.7</v>
      </c>
      <c r="H101" s="9">
        <v>82.2</v>
      </c>
      <c r="I101" s="9">
        <v>80.599999999999994</v>
      </c>
      <c r="J101" s="9">
        <v>72.2</v>
      </c>
      <c r="K101" s="9">
        <v>63.8</v>
      </c>
      <c r="L101" s="9">
        <v>52.6</v>
      </c>
      <c r="M101" s="9">
        <v>41.7</v>
      </c>
    </row>
    <row r="102" spans="1:13" ht="15" customHeight="1" x14ac:dyDescent="0.2">
      <c r="A102" s="1">
        <v>2008</v>
      </c>
      <c r="B102" s="9">
        <v>41.2</v>
      </c>
      <c r="C102" s="9">
        <v>47.2</v>
      </c>
      <c r="D102" s="9">
        <v>49.3</v>
      </c>
      <c r="E102" s="9">
        <v>55.8</v>
      </c>
      <c r="F102" s="9">
        <v>66.900000000000006</v>
      </c>
      <c r="G102" s="9">
        <v>78.7</v>
      </c>
      <c r="H102" s="9">
        <v>76.5</v>
      </c>
      <c r="I102" s="9">
        <v>79.599999999999994</v>
      </c>
      <c r="J102" s="9">
        <v>72.3</v>
      </c>
      <c r="K102" s="9">
        <v>61.7</v>
      </c>
      <c r="L102" s="9">
        <v>50.9</v>
      </c>
      <c r="M102" s="9">
        <v>43.6</v>
      </c>
    </row>
    <row r="103" spans="1:13" ht="15" customHeight="1" x14ac:dyDescent="0.2">
      <c r="A103" s="1">
        <v>2009</v>
      </c>
      <c r="B103" s="9">
        <v>44.5</v>
      </c>
      <c r="C103" s="9">
        <v>47.4</v>
      </c>
      <c r="D103" s="9">
        <v>54.5</v>
      </c>
      <c r="E103" s="9">
        <v>55.6</v>
      </c>
      <c r="F103" s="9">
        <v>71.3</v>
      </c>
      <c r="G103" s="9">
        <v>76</v>
      </c>
      <c r="H103" s="9">
        <v>84.8</v>
      </c>
      <c r="I103" s="9">
        <v>81.8</v>
      </c>
      <c r="J103" s="9">
        <v>73.900000000000006</v>
      </c>
      <c r="K103" s="9">
        <v>58.7</v>
      </c>
      <c r="L103" s="9">
        <v>50.9</v>
      </c>
      <c r="M103" s="9">
        <v>39.9</v>
      </c>
    </row>
    <row r="104" spans="1:13" ht="15" customHeight="1" x14ac:dyDescent="0.2">
      <c r="A104" s="1">
        <v>2010</v>
      </c>
      <c r="B104" s="9">
        <v>41.7</v>
      </c>
      <c r="C104" s="9">
        <v>45.7</v>
      </c>
      <c r="D104" s="9">
        <v>50.4</v>
      </c>
      <c r="E104" s="9">
        <v>59.4</v>
      </c>
      <c r="F104" s="9">
        <v>65.2</v>
      </c>
      <c r="G104" s="9">
        <v>77.599999999999994</v>
      </c>
      <c r="H104" s="9">
        <v>82.2</v>
      </c>
      <c r="I104" s="9">
        <v>80.8</v>
      </c>
      <c r="J104" s="9">
        <v>76.099999999999994</v>
      </c>
      <c r="K104" s="9">
        <v>63.8</v>
      </c>
      <c r="L104" s="9">
        <v>47.1</v>
      </c>
      <c r="M104" s="9">
        <v>44.8</v>
      </c>
    </row>
    <row r="105" spans="1:13" ht="15" customHeight="1" x14ac:dyDescent="0.2">
      <c r="A105" s="1">
        <v>2011</v>
      </c>
      <c r="B105" s="9">
        <v>40.1</v>
      </c>
      <c r="C105" s="9">
        <v>42.8</v>
      </c>
      <c r="D105" s="9">
        <v>54.4</v>
      </c>
      <c r="E105" s="9">
        <v>62.9</v>
      </c>
      <c r="F105" s="9">
        <v>65.5</v>
      </c>
      <c r="G105" s="9">
        <v>78.3</v>
      </c>
      <c r="H105" s="9">
        <v>84.2</v>
      </c>
      <c r="I105" s="9">
        <v>83.7</v>
      </c>
      <c r="J105" s="9">
        <v>75.5</v>
      </c>
      <c r="K105" s="9">
        <v>62.8</v>
      </c>
      <c r="L105" s="9">
        <v>49</v>
      </c>
      <c r="M105" s="9">
        <v>40.1</v>
      </c>
    </row>
    <row r="106" spans="1:13" ht="15" customHeight="1" x14ac:dyDescent="0.2">
      <c r="A106" s="1">
        <v>2012</v>
      </c>
      <c r="B106" s="9">
        <v>43.6</v>
      </c>
      <c r="C106" s="9">
        <v>46.3</v>
      </c>
      <c r="D106" s="9">
        <v>52.2</v>
      </c>
      <c r="E106" s="9">
        <v>61.9</v>
      </c>
      <c r="F106" s="9">
        <v>70.099999999999994</v>
      </c>
      <c r="G106" s="9">
        <v>81.099999999999994</v>
      </c>
      <c r="H106" s="9">
        <v>82.3</v>
      </c>
      <c r="I106" s="9">
        <v>82.1</v>
      </c>
      <c r="J106" s="9">
        <v>74.099999999999994</v>
      </c>
      <c r="K106" s="9">
        <v>63.2</v>
      </c>
      <c r="L106" s="9">
        <v>52.6</v>
      </c>
      <c r="M106" s="9">
        <v>42.9</v>
      </c>
    </row>
    <row r="107" spans="1:13" ht="15" customHeight="1" x14ac:dyDescent="0.2">
      <c r="A107" s="1">
        <v>2013</v>
      </c>
      <c r="B107" s="9">
        <v>38.9</v>
      </c>
      <c r="C107" s="9">
        <v>42.3</v>
      </c>
      <c r="D107" s="9">
        <v>54.3</v>
      </c>
      <c r="E107" s="9">
        <v>60.5</v>
      </c>
      <c r="F107" s="9">
        <v>68.900000000000006</v>
      </c>
      <c r="G107" s="9">
        <v>81</v>
      </c>
      <c r="H107" s="9">
        <v>81.099999999999994</v>
      </c>
      <c r="I107" s="9">
        <v>80.400000000000006</v>
      </c>
      <c r="J107" s="9">
        <v>73.3</v>
      </c>
      <c r="K107" s="9">
        <v>59.7</v>
      </c>
      <c r="L107" s="9">
        <v>51</v>
      </c>
      <c r="M107" s="9">
        <v>41.4</v>
      </c>
    </row>
    <row r="108" spans="1:13" ht="15" customHeight="1" x14ac:dyDescent="0.2">
      <c r="A108" s="1">
        <v>2014</v>
      </c>
      <c r="B108" s="9">
        <v>43.8</v>
      </c>
      <c r="C108" s="9">
        <v>50.3</v>
      </c>
      <c r="D108" s="9">
        <v>54.4</v>
      </c>
      <c r="E108" s="9">
        <v>61</v>
      </c>
      <c r="F108" s="9">
        <v>66.599999999999994</v>
      </c>
      <c r="G108" s="9">
        <v>79</v>
      </c>
      <c r="H108" s="9">
        <v>82.7</v>
      </c>
      <c r="I108" s="9">
        <v>77.400000000000006</v>
      </c>
      <c r="J108" s="9">
        <v>74.8</v>
      </c>
      <c r="K108" s="9">
        <v>63.9</v>
      </c>
      <c r="L108" s="9">
        <v>48.6</v>
      </c>
      <c r="M108" s="9">
        <v>45.4</v>
      </c>
    </row>
    <row r="109" spans="1:13" ht="15" customHeight="1" x14ac:dyDescent="0.2">
      <c r="A109" s="1">
        <v>2015</v>
      </c>
      <c r="B109" s="9">
        <v>44</v>
      </c>
      <c r="C109" s="9">
        <v>51</v>
      </c>
      <c r="D109" s="9">
        <v>55.4</v>
      </c>
      <c r="E109" s="9">
        <v>58.7</v>
      </c>
      <c r="F109" s="9">
        <v>65.400000000000006</v>
      </c>
      <c r="G109" s="9">
        <v>79.900000000000006</v>
      </c>
      <c r="H109" s="9">
        <v>81.3</v>
      </c>
      <c r="I109" s="9">
        <v>82.2</v>
      </c>
      <c r="J109" s="9">
        <v>75.3</v>
      </c>
      <c r="K109" s="9">
        <v>64.900000000000006</v>
      </c>
      <c r="L109" s="9">
        <v>49.4</v>
      </c>
      <c r="M109" s="9">
        <v>40.799999999999997</v>
      </c>
    </row>
    <row r="110" spans="1:13" ht="15" customHeight="1" x14ac:dyDescent="0.2">
      <c r="A110" s="1">
        <v>2016</v>
      </c>
      <c r="B110" s="9">
        <v>41.2</v>
      </c>
      <c r="C110" s="9">
        <v>48.4</v>
      </c>
      <c r="D110" s="9">
        <v>55.3</v>
      </c>
      <c r="E110" s="9">
        <v>58.6</v>
      </c>
      <c r="F110" s="9">
        <v>66.900000000000006</v>
      </c>
      <c r="G110" s="9">
        <v>80.599999999999994</v>
      </c>
      <c r="H110" s="9">
        <v>82.8</v>
      </c>
      <c r="I110" s="9">
        <v>78.5</v>
      </c>
      <c r="J110" s="9">
        <v>72.8</v>
      </c>
      <c r="K110" s="9">
        <v>64.900000000000006</v>
      </c>
      <c r="L110" s="9">
        <v>52</v>
      </c>
      <c r="M110" s="9">
        <v>45.7</v>
      </c>
    </row>
    <row r="111" spans="1:13" ht="15" customHeight="1" x14ac:dyDescent="0.2">
      <c r="A111" s="1">
        <v>2017</v>
      </c>
      <c r="B111" s="9">
        <v>45.4</v>
      </c>
      <c r="C111" s="9">
        <v>50.1</v>
      </c>
      <c r="D111" s="9">
        <v>57.3</v>
      </c>
      <c r="E111" s="9">
        <v>60.4</v>
      </c>
      <c r="F111" s="9">
        <v>67.2</v>
      </c>
      <c r="G111" s="9">
        <v>79.7</v>
      </c>
      <c r="H111" s="9">
        <v>81.7</v>
      </c>
      <c r="I111" s="9">
        <v>78.8</v>
      </c>
      <c r="J111" s="9">
        <v>73.5</v>
      </c>
      <c r="K111" s="9">
        <v>64.599999999999994</v>
      </c>
      <c r="L111" s="9">
        <v>56.6</v>
      </c>
      <c r="M111" s="9">
        <v>44.2</v>
      </c>
    </row>
    <row r="112" spans="1:13" ht="15" customHeight="1" x14ac:dyDescent="0.2">
      <c r="A112" s="1">
        <v>2018</v>
      </c>
      <c r="B112" s="9">
        <v>44.9</v>
      </c>
      <c r="C112" s="9">
        <v>49.9</v>
      </c>
      <c r="D112" s="9">
        <v>54.7</v>
      </c>
      <c r="E112" s="9">
        <v>64.400000000000006</v>
      </c>
      <c r="F112" s="9">
        <v>70.7</v>
      </c>
      <c r="G112" s="9">
        <v>80</v>
      </c>
      <c r="H112" s="9">
        <v>82.6</v>
      </c>
      <c r="I112" s="9">
        <v>80.599999999999994</v>
      </c>
      <c r="J112" s="9">
        <v>75.599999999999994</v>
      </c>
      <c r="K112" s="9">
        <v>62.4</v>
      </c>
      <c r="L112" s="9">
        <v>47.6</v>
      </c>
      <c r="M112" s="9">
        <v>43.4</v>
      </c>
    </row>
    <row r="113" spans="1:13" ht="15" customHeight="1" x14ac:dyDescent="0.2">
      <c r="A113" s="1">
        <v>2019</v>
      </c>
      <c r="B113" s="9">
        <v>42.7</v>
      </c>
      <c r="C113" s="9">
        <v>44.7</v>
      </c>
      <c r="D113" s="9">
        <v>52.4</v>
      </c>
      <c r="E113" s="9">
        <v>60.3</v>
      </c>
      <c r="F113" s="9">
        <v>63.2</v>
      </c>
      <c r="G113" s="9">
        <v>77</v>
      </c>
      <c r="H113" s="9">
        <v>83.4</v>
      </c>
      <c r="I113" s="9">
        <v>83.7</v>
      </c>
      <c r="J113" s="9">
        <v>75.3</v>
      </c>
      <c r="K113" s="9">
        <v>60.4</v>
      </c>
      <c r="L113" s="9">
        <v>50.9</v>
      </c>
      <c r="M113" s="9">
        <v>43.2</v>
      </c>
    </row>
    <row r="114" spans="1:13" ht="15" customHeight="1" x14ac:dyDescent="0.2">
      <c r="A114" s="1">
        <v>2020</v>
      </c>
      <c r="B114" s="9">
        <v>44.1</v>
      </c>
      <c r="C114" s="9">
        <v>46.5</v>
      </c>
      <c r="D114" s="9">
        <v>54</v>
      </c>
      <c r="E114" s="9">
        <v>60.5</v>
      </c>
      <c r="F114" s="9">
        <v>71.5</v>
      </c>
      <c r="G114" s="9">
        <v>78.599999999999994</v>
      </c>
      <c r="H114" s="9">
        <v>84.2</v>
      </c>
      <c r="I114" s="9" t="s">
        <v>234</v>
      </c>
      <c r="J114" s="9">
        <v>73.8</v>
      </c>
      <c r="K114" s="9">
        <v>62.9</v>
      </c>
      <c r="L114" s="9">
        <v>52.9</v>
      </c>
      <c r="M114" s="9">
        <v>40</v>
      </c>
    </row>
    <row r="115" spans="1:13" ht="15" customHeight="1" x14ac:dyDescent="0.2">
      <c r="A115" s="1">
        <v>2021</v>
      </c>
      <c r="B115" s="9">
        <v>42.3</v>
      </c>
      <c r="C115" s="9">
        <v>46.6</v>
      </c>
      <c r="D115" s="9">
        <v>51.4</v>
      </c>
      <c r="E115" s="9">
        <v>62</v>
      </c>
      <c r="F115" s="9">
        <v>69.3</v>
      </c>
      <c r="G115" s="9">
        <v>81.099999999999994</v>
      </c>
      <c r="H115" s="9">
        <v>81.8</v>
      </c>
      <c r="I115" s="9">
        <v>80</v>
      </c>
      <c r="J115" s="9">
        <v>74.2</v>
      </c>
      <c r="K115" s="9">
        <v>61</v>
      </c>
      <c r="L115" s="9">
        <v>52.4</v>
      </c>
      <c r="M115" s="9">
        <v>47</v>
      </c>
    </row>
    <row r="116" spans="1:13" ht="15" customHeight="1" x14ac:dyDescent="0.2">
      <c r="A116" s="1">
        <v>2022</v>
      </c>
      <c r="B116" s="1">
        <v>43.1</v>
      </c>
      <c r="C116" s="1">
        <f t="shared" ref="C116" si="0">VALUE(ROUND(C115,1))</f>
        <v>46.6</v>
      </c>
      <c r="D116" s="1">
        <f t="shared" ref="D116" si="1">VALUE(ROUND(D115,1))</f>
        <v>51.4</v>
      </c>
      <c r="E116" s="1">
        <f t="shared" ref="E116" si="2">VALUE(ROUND(E115,1))</f>
        <v>62</v>
      </c>
      <c r="F116" s="1">
        <f t="shared" ref="F116" si="3">VALUE(ROUND(F115,1))</f>
        <v>69.3</v>
      </c>
      <c r="G116" s="1">
        <f t="shared" ref="G116" si="4">VALUE(ROUND(G115,1))</f>
        <v>81.099999999999994</v>
      </c>
      <c r="H116" s="1">
        <f t="shared" ref="H116" si="5">VALUE(ROUND(H115,1))</f>
        <v>81.8</v>
      </c>
      <c r="I116" s="1">
        <f t="shared" ref="I116" si="6">VALUE(ROUND(I115,1))</f>
        <v>80</v>
      </c>
      <c r="J116" s="1">
        <f t="shared" ref="J116" si="7">VALUE(ROUND(J115,1))</f>
        <v>74.2</v>
      </c>
      <c r="K116" s="1">
        <f t="shared" ref="K116" si="8">VALUE(ROUND(K115,1))</f>
        <v>61</v>
      </c>
      <c r="L116" s="1">
        <v>45.7</v>
      </c>
      <c r="M116" s="1">
        <v>44.1</v>
      </c>
    </row>
    <row r="117" spans="1:13" ht="15" customHeight="1" x14ac:dyDescent="0.2">
      <c r="A117" s="1">
        <v>2023</v>
      </c>
      <c r="B117" s="1">
        <v>41.6</v>
      </c>
      <c r="C117" s="1">
        <v>45.4</v>
      </c>
      <c r="D117" s="1">
        <v>51.8</v>
      </c>
      <c r="E117" s="1">
        <v>60.9</v>
      </c>
      <c r="F117" s="1">
        <v>68.099999999999994</v>
      </c>
      <c r="G117" s="1">
        <v>75.3</v>
      </c>
      <c r="H117" s="1">
        <v>86.3</v>
      </c>
      <c r="I117" s="1">
        <v>82.5</v>
      </c>
      <c r="J117" s="1">
        <v>76</v>
      </c>
      <c r="K117" s="1">
        <v>64.900000000000006</v>
      </c>
      <c r="L117" s="1">
        <v>52</v>
      </c>
      <c r="M117" s="1">
        <v>44.4</v>
      </c>
    </row>
    <row r="118" spans="1:13" ht="15" customHeight="1" x14ac:dyDescent="0.2">
      <c r="A118" s="1">
        <v>2024</v>
      </c>
      <c r="B118" s="1">
        <v>43.5</v>
      </c>
      <c r="C118" s="1">
        <v>49.5</v>
      </c>
      <c r="D118" s="1">
        <v>52.6</v>
      </c>
      <c r="E118" s="1">
        <v>60.3</v>
      </c>
      <c r="F118" s="1">
        <v>69.099999999999994</v>
      </c>
      <c r="G118" s="1">
        <v>81.8</v>
      </c>
      <c r="H118" s="1">
        <v>83.7</v>
      </c>
      <c r="I118" s="1">
        <v>82.8</v>
      </c>
      <c r="J118" s="1">
        <v>74.5</v>
      </c>
      <c r="K118" s="1">
        <v>66.400000000000006</v>
      </c>
      <c r="L118" s="1">
        <v>48.6</v>
      </c>
      <c r="M118" s="1">
        <v>46.8</v>
      </c>
    </row>
    <row r="119" spans="1:13" ht="15" customHeight="1" x14ac:dyDescent="0.2">
      <c r="A119" s="2" t="s">
        <v>101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" customHeight="1" x14ac:dyDescent="0.2">
      <c r="A120" s="1">
        <v>1968</v>
      </c>
    </row>
    <row r="121" spans="1:13" ht="15" customHeight="1" x14ac:dyDescent="0.2">
      <c r="A121" s="1">
        <v>1969</v>
      </c>
      <c r="B121" s="1" t="s">
        <v>17</v>
      </c>
    </row>
    <row r="122" spans="1:13" ht="15" customHeight="1" x14ac:dyDescent="0.2">
      <c r="A122" s="1">
        <v>1970</v>
      </c>
      <c r="B122" s="1" t="s">
        <v>17</v>
      </c>
    </row>
    <row r="123" spans="1:13" ht="15" customHeight="1" x14ac:dyDescent="0.2">
      <c r="A123" s="1">
        <v>1971</v>
      </c>
      <c r="B123" s="1" t="s">
        <v>26</v>
      </c>
    </row>
    <row r="124" spans="1:13" ht="15" customHeight="1" x14ac:dyDescent="0.2">
      <c r="A124" s="1">
        <v>1972</v>
      </c>
      <c r="B124" s="1" t="s">
        <v>31</v>
      </c>
    </row>
    <row r="125" spans="1:13" ht="15" customHeight="1" x14ac:dyDescent="0.2">
      <c r="A125" s="1">
        <v>1973</v>
      </c>
      <c r="B125" s="1" t="s">
        <v>17</v>
      </c>
    </row>
    <row r="126" spans="1:13" ht="15" customHeight="1" x14ac:dyDescent="0.2">
      <c r="A126" s="1">
        <v>1974</v>
      </c>
      <c r="B126" s="1" t="s">
        <v>17</v>
      </c>
    </row>
    <row r="127" spans="1:13" ht="15" customHeight="1" x14ac:dyDescent="0.2">
      <c r="A127" s="1">
        <v>1975</v>
      </c>
      <c r="B127" s="1" t="s">
        <v>17</v>
      </c>
    </row>
    <row r="128" spans="1:13" ht="15" customHeight="1" x14ac:dyDescent="0.2">
      <c r="A128" s="1">
        <v>1976</v>
      </c>
      <c r="B128" s="1" t="s">
        <v>37</v>
      </c>
    </row>
    <row r="129" spans="1:7" ht="15" customHeight="1" x14ac:dyDescent="0.2">
      <c r="A129" s="1">
        <v>1977</v>
      </c>
      <c r="B129" s="1" t="s">
        <v>17</v>
      </c>
    </row>
    <row r="130" spans="1:7" ht="15" customHeight="1" x14ac:dyDescent="0.2">
      <c r="A130" s="1">
        <v>1978</v>
      </c>
      <c r="B130" s="1" t="s">
        <v>44</v>
      </c>
      <c r="G130" s="3"/>
    </row>
    <row r="131" spans="1:7" ht="15" customHeight="1" x14ac:dyDescent="0.2">
      <c r="A131" s="1">
        <v>1979</v>
      </c>
      <c r="B131" s="1" t="s">
        <v>17</v>
      </c>
    </row>
    <row r="132" spans="1:7" ht="15" customHeight="1" x14ac:dyDescent="0.2">
      <c r="A132" s="1">
        <v>1980</v>
      </c>
      <c r="B132" s="1" t="s">
        <v>17</v>
      </c>
    </row>
    <row r="133" spans="1:7" ht="15" customHeight="1" x14ac:dyDescent="0.2">
      <c r="A133" s="1">
        <v>1981</v>
      </c>
      <c r="B133" s="1" t="s">
        <v>17</v>
      </c>
    </row>
    <row r="134" spans="1:7" ht="15" customHeight="1" x14ac:dyDescent="0.2">
      <c r="A134" s="1">
        <v>1982</v>
      </c>
      <c r="B134" s="1" t="s">
        <v>17</v>
      </c>
    </row>
    <row r="135" spans="1:7" ht="15" customHeight="1" x14ac:dyDescent="0.2">
      <c r="A135" s="1">
        <v>1983</v>
      </c>
      <c r="B135" s="1" t="s">
        <v>17</v>
      </c>
    </row>
    <row r="136" spans="1:7" ht="15" customHeight="1" x14ac:dyDescent="0.2">
      <c r="A136" s="1">
        <v>1984</v>
      </c>
      <c r="B136" s="1" t="s">
        <v>17</v>
      </c>
    </row>
    <row r="137" spans="1:7" ht="15" customHeight="1" x14ac:dyDescent="0.2">
      <c r="A137" s="1">
        <v>1985</v>
      </c>
      <c r="B137" s="1" t="s">
        <v>17</v>
      </c>
    </row>
    <row r="138" spans="1:7" ht="15" customHeight="1" x14ac:dyDescent="0.2">
      <c r="A138" s="1">
        <v>1986</v>
      </c>
      <c r="B138" s="1" t="s">
        <v>17</v>
      </c>
    </row>
    <row r="139" spans="1:7" ht="15" customHeight="1" x14ac:dyDescent="0.2">
      <c r="A139" s="1">
        <v>1987</v>
      </c>
      <c r="B139" s="1" t="s">
        <v>17</v>
      </c>
    </row>
    <row r="140" spans="1:7" ht="15" customHeight="1" x14ac:dyDescent="0.2">
      <c r="A140" s="1">
        <v>1988</v>
      </c>
      <c r="B140" s="1" t="s">
        <v>17</v>
      </c>
    </row>
    <row r="141" spans="1:7" ht="15" customHeight="1" x14ac:dyDescent="0.2">
      <c r="A141" s="1">
        <v>1989</v>
      </c>
      <c r="B141" s="1" t="s">
        <v>17</v>
      </c>
    </row>
    <row r="142" spans="1:7" ht="15" customHeight="1" x14ac:dyDescent="0.2">
      <c r="A142" s="1">
        <v>1990</v>
      </c>
      <c r="B142" s="1" t="s">
        <v>57</v>
      </c>
    </row>
    <row r="143" spans="1:7" ht="15" customHeight="1" x14ac:dyDescent="0.2">
      <c r="A143" s="1">
        <v>1991</v>
      </c>
      <c r="B143" s="1" t="s">
        <v>17</v>
      </c>
    </row>
    <row r="144" spans="1:7" ht="15" customHeight="1" x14ac:dyDescent="0.2">
      <c r="A144" s="1">
        <v>1992</v>
      </c>
      <c r="B144" s="1" t="s">
        <v>17</v>
      </c>
    </row>
    <row r="145" spans="1:2" ht="15" customHeight="1" x14ac:dyDescent="0.2">
      <c r="A145" s="1">
        <v>1993</v>
      </c>
      <c r="B145" s="1" t="s">
        <v>17</v>
      </c>
    </row>
    <row r="146" spans="1:2" ht="15" customHeight="1" x14ac:dyDescent="0.2">
      <c r="A146" s="1">
        <v>1994</v>
      </c>
      <c r="B146" s="1" t="s">
        <v>17</v>
      </c>
    </row>
    <row r="147" spans="1:2" ht="15" customHeight="1" x14ac:dyDescent="0.2">
      <c r="A147" s="1">
        <v>1995</v>
      </c>
      <c r="B147" s="1" t="s">
        <v>64</v>
      </c>
    </row>
    <row r="148" spans="1:2" ht="15" customHeight="1" x14ac:dyDescent="0.2">
      <c r="A148" s="1">
        <v>1996</v>
      </c>
      <c r="B148" s="1" t="s">
        <v>17</v>
      </c>
    </row>
    <row r="149" spans="1:2" ht="15" customHeight="1" x14ac:dyDescent="0.2">
      <c r="A149" s="1">
        <v>1997</v>
      </c>
      <c r="B149" s="1" t="s">
        <v>17</v>
      </c>
    </row>
    <row r="150" spans="1:2" ht="15" customHeight="1" x14ac:dyDescent="0.2">
      <c r="A150" s="1">
        <v>1998</v>
      </c>
      <c r="B150" s="1" t="s">
        <v>17</v>
      </c>
    </row>
    <row r="151" spans="1:2" ht="15" customHeight="1" x14ac:dyDescent="0.2">
      <c r="A151" s="1">
        <v>1999</v>
      </c>
      <c r="B151" s="1" t="s">
        <v>83</v>
      </c>
    </row>
    <row r="152" spans="1:2" ht="15" customHeight="1" x14ac:dyDescent="0.2">
      <c r="A152" s="1">
        <v>2000</v>
      </c>
      <c r="B152" s="1" t="s">
        <v>84</v>
      </c>
    </row>
    <row r="153" spans="1:2" ht="15" customHeight="1" x14ac:dyDescent="0.2">
      <c r="A153" s="1">
        <v>2001</v>
      </c>
      <c r="B153" s="1" t="s">
        <v>17</v>
      </c>
    </row>
    <row r="154" spans="1:2" ht="15" customHeight="1" x14ac:dyDescent="0.2">
      <c r="A154" s="1">
        <v>2002</v>
      </c>
      <c r="B154" s="1" t="s">
        <v>17</v>
      </c>
    </row>
    <row r="155" spans="1:2" ht="15" customHeight="1" x14ac:dyDescent="0.2">
      <c r="A155" s="1">
        <v>2003</v>
      </c>
      <c r="B155" s="1" t="s">
        <v>17</v>
      </c>
    </row>
    <row r="156" spans="1:2" ht="15" customHeight="1" x14ac:dyDescent="0.2">
      <c r="A156" s="1">
        <v>2004</v>
      </c>
      <c r="B156" s="1" t="s">
        <v>71</v>
      </c>
    </row>
    <row r="157" spans="1:2" ht="15" customHeight="1" x14ac:dyDescent="0.2">
      <c r="A157" s="1">
        <v>2005</v>
      </c>
      <c r="B157" s="1" t="s">
        <v>17</v>
      </c>
    </row>
    <row r="158" spans="1:2" ht="15" customHeight="1" x14ac:dyDescent="0.2">
      <c r="A158" s="1">
        <v>2006</v>
      </c>
      <c r="B158" s="1" t="s">
        <v>182</v>
      </c>
    </row>
    <row r="159" spans="1:2" ht="15" customHeight="1" x14ac:dyDescent="0.2">
      <c r="A159" s="1">
        <v>2007</v>
      </c>
      <c r="B159" s="1" t="s">
        <v>121</v>
      </c>
    </row>
    <row r="160" spans="1:2" ht="15" customHeight="1" x14ac:dyDescent="0.2">
      <c r="A160" s="1">
        <v>2008</v>
      </c>
      <c r="B160" s="1" t="s">
        <v>146</v>
      </c>
    </row>
    <row r="161" spans="1:2" ht="15" customHeight="1" x14ac:dyDescent="0.2">
      <c r="A161" s="1">
        <v>2009</v>
      </c>
      <c r="B161" s="1" t="s">
        <v>184</v>
      </c>
    </row>
    <row r="162" spans="1:2" ht="15" customHeight="1" x14ac:dyDescent="0.2">
      <c r="A162" s="1">
        <v>2010</v>
      </c>
      <c r="B162" s="1" t="s">
        <v>17</v>
      </c>
    </row>
    <row r="163" spans="1:2" ht="15" customHeight="1" x14ac:dyDescent="0.2">
      <c r="A163" s="1">
        <v>2011</v>
      </c>
      <c r="B163" s="1" t="s">
        <v>193</v>
      </c>
    </row>
    <row r="164" spans="1:2" ht="15" customHeight="1" x14ac:dyDescent="0.2">
      <c r="A164" s="1">
        <v>2012</v>
      </c>
      <c r="B164" s="1" t="s">
        <v>17</v>
      </c>
    </row>
    <row r="165" spans="1:2" ht="15" customHeight="1" x14ac:dyDescent="0.2">
      <c r="A165" s="1">
        <v>2013</v>
      </c>
      <c r="B165" s="1" t="s">
        <v>17</v>
      </c>
    </row>
    <row r="166" spans="1:2" ht="15" customHeight="1" x14ac:dyDescent="0.2">
      <c r="A166" s="1">
        <v>2014</v>
      </c>
      <c r="B166" s="1" t="s">
        <v>17</v>
      </c>
    </row>
    <row r="167" spans="1:2" ht="15" customHeight="1" x14ac:dyDescent="0.2">
      <c r="A167" s="1">
        <v>2015</v>
      </c>
      <c r="B167" s="1" t="s">
        <v>17</v>
      </c>
    </row>
    <row r="168" spans="1:2" ht="15" customHeight="1" x14ac:dyDescent="0.2">
      <c r="A168" s="1">
        <v>2016</v>
      </c>
      <c r="B168" s="1" t="s">
        <v>17</v>
      </c>
    </row>
    <row r="169" spans="1:2" ht="15" customHeight="1" x14ac:dyDescent="0.2">
      <c r="A169" s="1">
        <v>2017</v>
      </c>
      <c r="B169" s="1" t="s">
        <v>17</v>
      </c>
    </row>
    <row r="170" spans="1:2" ht="15" customHeight="1" x14ac:dyDescent="0.2">
      <c r="A170" s="1">
        <v>2018</v>
      </c>
      <c r="B170" s="1" t="s">
        <v>17</v>
      </c>
    </row>
    <row r="171" spans="1:2" ht="15" customHeight="1" x14ac:dyDescent="0.2">
      <c r="A171" s="1">
        <v>2019</v>
      </c>
      <c r="B171" s="1" t="s">
        <v>17</v>
      </c>
    </row>
    <row r="172" spans="1:2" ht="15" customHeight="1" x14ac:dyDescent="0.2">
      <c r="A172" s="1">
        <v>2020</v>
      </c>
      <c r="B172" s="1" t="s">
        <v>17</v>
      </c>
    </row>
    <row r="173" spans="1:2" ht="15" customHeight="1" x14ac:dyDescent="0.2">
      <c r="A173" s="1">
        <v>2021</v>
      </c>
      <c r="B173" s="1" t="s">
        <v>17</v>
      </c>
    </row>
    <row r="174" spans="1:2" ht="15" customHeight="1" x14ac:dyDescent="0.2">
      <c r="A174" s="1">
        <v>2022</v>
      </c>
      <c r="B174" s="1" t="s">
        <v>17</v>
      </c>
    </row>
    <row r="175" spans="1:2" ht="15" customHeight="1" x14ac:dyDescent="0.2">
      <c r="A175" s="1">
        <v>2023</v>
      </c>
      <c r="B175" s="1" t="s">
        <v>232</v>
      </c>
    </row>
    <row r="176" spans="1:2" ht="15" customHeight="1" x14ac:dyDescent="0.2">
      <c r="A176" s="1">
        <v>2024</v>
      </c>
      <c r="B176" s="1" t="s">
        <v>232</v>
      </c>
    </row>
    <row r="177" spans="1:12" ht="15" customHeight="1" x14ac:dyDescent="0.2">
      <c r="A177" s="2" t="s">
        <v>9</v>
      </c>
      <c r="C177" s="2"/>
      <c r="D177" s="2" t="s">
        <v>136</v>
      </c>
      <c r="E177" s="2"/>
      <c r="F177" s="2"/>
      <c r="G177" s="2"/>
      <c r="H177" s="2"/>
      <c r="I177" s="2"/>
      <c r="J177" s="2"/>
      <c r="K177" s="2"/>
      <c r="L177" s="2"/>
    </row>
    <row r="178" spans="1:12" ht="15" customHeight="1" x14ac:dyDescent="0.2">
      <c r="A178" s="2"/>
      <c r="B178" s="1" t="s">
        <v>137</v>
      </c>
      <c r="C178" s="2"/>
      <c r="D178" s="2"/>
      <c r="E178" s="1" t="s">
        <v>137</v>
      </c>
      <c r="F178" s="2"/>
      <c r="G178" s="2"/>
      <c r="H178" s="1" t="s">
        <v>140</v>
      </c>
      <c r="I178" s="2"/>
      <c r="J178" s="2"/>
      <c r="K178" s="1" t="s">
        <v>140</v>
      </c>
      <c r="L178" s="2"/>
    </row>
    <row r="179" spans="1:12" ht="15" customHeight="1" x14ac:dyDescent="0.2">
      <c r="B179" s="8" t="s">
        <v>139</v>
      </c>
      <c r="C179" s="8"/>
      <c r="E179" s="8" t="s">
        <v>138</v>
      </c>
      <c r="F179" s="8"/>
      <c r="H179" s="8" t="s">
        <v>138</v>
      </c>
      <c r="I179" s="8"/>
      <c r="K179" s="8" t="s">
        <v>139</v>
      </c>
      <c r="L179" s="8"/>
    </row>
    <row r="180" spans="1:12" ht="15" customHeight="1" x14ac:dyDescent="0.2">
      <c r="A180" s="1">
        <v>1968</v>
      </c>
      <c r="B180" s="1">
        <v>4</v>
      </c>
      <c r="C180" s="1">
        <v>27</v>
      </c>
      <c r="E180" s="1">
        <v>4</v>
      </c>
      <c r="F180" s="1">
        <v>27</v>
      </c>
      <c r="H180" s="1">
        <v>10</v>
      </c>
      <c r="I180" s="1">
        <v>17</v>
      </c>
      <c r="K180" s="1">
        <v>10</v>
      </c>
      <c r="L180" s="1">
        <v>18</v>
      </c>
    </row>
    <row r="181" spans="1:12" ht="15" customHeight="1" x14ac:dyDescent="0.2">
      <c r="A181" s="1">
        <v>1969</v>
      </c>
      <c r="B181" s="1">
        <v>3</v>
      </c>
      <c r="C181" s="1">
        <v>27</v>
      </c>
      <c r="E181" s="1">
        <v>4</v>
      </c>
      <c r="F181" s="1">
        <v>28</v>
      </c>
      <c r="H181" s="1">
        <v>10</v>
      </c>
      <c r="I181" s="1">
        <v>13</v>
      </c>
      <c r="K181" s="1">
        <v>10</v>
      </c>
      <c r="L181" s="1">
        <v>31</v>
      </c>
    </row>
    <row r="182" spans="1:12" ht="15" customHeight="1" x14ac:dyDescent="0.2">
      <c r="A182" s="1">
        <v>1970</v>
      </c>
      <c r="B182" s="1">
        <v>5</v>
      </c>
      <c r="C182" s="1">
        <v>1</v>
      </c>
      <c r="E182" s="1">
        <v>5</v>
      </c>
      <c r="F182" s="1">
        <v>1</v>
      </c>
      <c r="H182" s="1">
        <v>10</v>
      </c>
      <c r="I182" s="1">
        <v>9</v>
      </c>
      <c r="K182" s="1">
        <v>10</v>
      </c>
      <c r="L182" s="1">
        <v>27</v>
      </c>
    </row>
    <row r="183" spans="1:12" ht="15" customHeight="1" x14ac:dyDescent="0.2">
      <c r="A183" s="1">
        <v>1971</v>
      </c>
      <c r="B183" s="1">
        <v>4</v>
      </c>
      <c r="C183" s="1">
        <v>21</v>
      </c>
      <c r="E183" s="1">
        <v>4</v>
      </c>
      <c r="F183" s="1">
        <v>24</v>
      </c>
      <c r="H183" s="1">
        <v>10</v>
      </c>
      <c r="I183" s="1">
        <v>20</v>
      </c>
      <c r="K183" s="1">
        <v>10</v>
      </c>
      <c r="L183" s="1">
        <v>24</v>
      </c>
    </row>
    <row r="184" spans="1:12" ht="15" customHeight="1" x14ac:dyDescent="0.2">
      <c r="A184" s="1">
        <v>1972</v>
      </c>
      <c r="B184" s="1">
        <v>4</v>
      </c>
      <c r="C184" s="1">
        <v>21</v>
      </c>
      <c r="E184" s="1">
        <v>4</v>
      </c>
      <c r="F184" s="1">
        <v>28</v>
      </c>
      <c r="H184" s="1">
        <v>11</v>
      </c>
      <c r="I184" s="1">
        <v>1</v>
      </c>
      <c r="K184" s="1">
        <v>11</v>
      </c>
      <c r="L184" s="1">
        <v>1</v>
      </c>
    </row>
    <row r="185" spans="1:12" ht="15" customHeight="1" x14ac:dyDescent="0.2">
      <c r="A185" s="1">
        <v>1973</v>
      </c>
      <c r="B185" s="1">
        <v>4</v>
      </c>
      <c r="C185" s="1">
        <v>10</v>
      </c>
      <c r="E185" s="1">
        <v>4</v>
      </c>
      <c r="F185" s="1">
        <v>22</v>
      </c>
      <c r="H185" s="1">
        <v>10</v>
      </c>
      <c r="I185" s="1">
        <v>11</v>
      </c>
      <c r="K185" s="1">
        <v>10</v>
      </c>
      <c r="L185" s="1">
        <v>11</v>
      </c>
    </row>
    <row r="186" spans="1:12" ht="15" customHeight="1" x14ac:dyDescent="0.2">
      <c r="A186" s="1">
        <v>1974</v>
      </c>
      <c r="B186" s="1">
        <v>4</v>
      </c>
      <c r="C186" s="1">
        <v>18</v>
      </c>
      <c r="E186" s="1">
        <v>4</v>
      </c>
      <c r="F186" s="1">
        <v>29</v>
      </c>
      <c r="H186" s="1">
        <v>10</v>
      </c>
      <c r="I186" s="1">
        <v>30</v>
      </c>
      <c r="K186" s="1">
        <v>11</v>
      </c>
      <c r="L186" s="1">
        <v>4</v>
      </c>
    </row>
    <row r="187" spans="1:12" ht="15" customHeight="1" x14ac:dyDescent="0.2">
      <c r="A187" s="1">
        <v>1975</v>
      </c>
      <c r="B187" s="1">
        <v>5</v>
      </c>
      <c r="C187" s="1">
        <v>8</v>
      </c>
      <c r="E187" s="1">
        <v>5</v>
      </c>
      <c r="F187" s="1">
        <v>9</v>
      </c>
      <c r="H187" s="1">
        <v>10</v>
      </c>
      <c r="I187" s="1">
        <v>14</v>
      </c>
      <c r="K187" s="1">
        <v>10</v>
      </c>
      <c r="L187" s="1">
        <v>14</v>
      </c>
    </row>
    <row r="188" spans="1:12" ht="15" customHeight="1" x14ac:dyDescent="0.2">
      <c r="A188" s="1">
        <v>1976</v>
      </c>
      <c r="B188" s="1">
        <v>4</v>
      </c>
      <c r="C188" s="1">
        <v>18</v>
      </c>
      <c r="E188" s="1">
        <v>5</v>
      </c>
      <c r="F188" s="1">
        <v>2</v>
      </c>
      <c r="H188" s="1">
        <v>10</v>
      </c>
      <c r="I188" s="1">
        <v>9</v>
      </c>
      <c r="K188" s="1">
        <v>10</v>
      </c>
      <c r="L188" s="1">
        <v>9</v>
      </c>
    </row>
    <row r="189" spans="1:12" ht="15" customHeight="1" x14ac:dyDescent="0.2">
      <c r="A189" s="1">
        <v>1977</v>
      </c>
      <c r="B189" s="1">
        <v>4</v>
      </c>
      <c r="C189" s="1">
        <v>22</v>
      </c>
      <c r="E189" s="1">
        <v>5</v>
      </c>
      <c r="F189" s="1">
        <v>19</v>
      </c>
      <c r="H189" s="1">
        <v>10</v>
      </c>
      <c r="I189" s="1">
        <v>25</v>
      </c>
      <c r="K189" s="1">
        <v>11</v>
      </c>
      <c r="L189" s="1">
        <v>2</v>
      </c>
    </row>
    <row r="190" spans="1:12" ht="15" customHeight="1" x14ac:dyDescent="0.2">
      <c r="A190" s="1">
        <v>1978</v>
      </c>
      <c r="B190" s="1">
        <v>4</v>
      </c>
      <c r="C190" s="1">
        <v>21</v>
      </c>
      <c r="E190" s="1">
        <v>5</v>
      </c>
      <c r="F190" s="1">
        <v>9</v>
      </c>
      <c r="H190" s="1">
        <v>10</v>
      </c>
      <c r="I190" s="1">
        <v>27</v>
      </c>
      <c r="K190" s="1">
        <v>11</v>
      </c>
      <c r="L190" s="1">
        <v>16</v>
      </c>
    </row>
    <row r="191" spans="1:12" ht="15" customHeight="1" x14ac:dyDescent="0.2">
      <c r="A191" s="1">
        <v>1979</v>
      </c>
      <c r="B191" s="1">
        <v>5</v>
      </c>
      <c r="C191" s="1">
        <v>12</v>
      </c>
      <c r="E191" s="1">
        <v>5</v>
      </c>
      <c r="F191" s="1">
        <v>13</v>
      </c>
      <c r="H191" s="1">
        <v>10</v>
      </c>
      <c r="I191" s="1">
        <v>22</v>
      </c>
      <c r="K191" s="1">
        <v>10</v>
      </c>
      <c r="L191" s="1">
        <v>22</v>
      </c>
    </row>
    <row r="192" spans="1:12" ht="15" customHeight="1" x14ac:dyDescent="0.2">
      <c r="A192" s="1">
        <v>1980</v>
      </c>
      <c r="B192" s="1">
        <v>5</v>
      </c>
      <c r="C192" s="1">
        <v>25</v>
      </c>
      <c r="E192" s="1">
        <v>5</v>
      </c>
      <c r="F192" s="1">
        <v>26</v>
      </c>
      <c r="H192" s="1">
        <v>10</v>
      </c>
      <c r="I192" s="1">
        <v>16</v>
      </c>
      <c r="K192" s="1">
        <v>10</v>
      </c>
      <c r="L192" s="1">
        <v>16</v>
      </c>
    </row>
    <row r="193" spans="1:12" ht="15" customHeight="1" x14ac:dyDescent="0.2">
      <c r="A193" s="1">
        <v>1981</v>
      </c>
      <c r="B193" s="1">
        <v>4</v>
      </c>
      <c r="C193" s="1">
        <v>5</v>
      </c>
      <c r="E193" s="1">
        <v>4</v>
      </c>
      <c r="F193" s="1">
        <v>10</v>
      </c>
      <c r="H193" s="1">
        <v>10</v>
      </c>
      <c r="I193" s="1">
        <v>17</v>
      </c>
      <c r="K193" s="1">
        <v>10</v>
      </c>
      <c r="L193" s="1">
        <v>17</v>
      </c>
    </row>
    <row r="194" spans="1:12" ht="15" customHeight="1" x14ac:dyDescent="0.2">
      <c r="A194" s="1">
        <v>1982</v>
      </c>
      <c r="B194" s="1">
        <v>4</v>
      </c>
      <c r="C194" s="1">
        <v>8</v>
      </c>
      <c r="E194" s="1">
        <v>5</v>
      </c>
      <c r="F194" s="1">
        <v>13</v>
      </c>
      <c r="H194" s="1">
        <v>10</v>
      </c>
      <c r="I194" s="1">
        <v>2</v>
      </c>
      <c r="K194" s="1">
        <v>10</v>
      </c>
      <c r="L194" s="1">
        <v>10</v>
      </c>
    </row>
    <row r="195" spans="1:12" ht="15" customHeight="1" x14ac:dyDescent="0.2">
      <c r="A195" s="1">
        <v>1983</v>
      </c>
      <c r="B195" s="1">
        <v>4</v>
      </c>
      <c r="C195" s="1">
        <v>16</v>
      </c>
      <c r="E195" s="1">
        <v>5</v>
      </c>
      <c r="F195" s="1">
        <v>16</v>
      </c>
      <c r="H195" s="1">
        <v>11</v>
      </c>
      <c r="I195" s="1">
        <v>15</v>
      </c>
      <c r="K195" s="1">
        <v>11</v>
      </c>
      <c r="L195" s="1">
        <v>16</v>
      </c>
    </row>
    <row r="196" spans="1:12" ht="15" customHeight="1" x14ac:dyDescent="0.2">
      <c r="A196" s="1">
        <v>1984</v>
      </c>
      <c r="B196" s="1">
        <v>4</v>
      </c>
      <c r="C196" s="1">
        <v>30</v>
      </c>
      <c r="E196" s="1">
        <v>4</v>
      </c>
      <c r="F196" s="1">
        <v>30</v>
      </c>
      <c r="H196" s="1">
        <v>10</v>
      </c>
      <c r="I196" s="1">
        <v>19</v>
      </c>
      <c r="K196" s="1">
        <v>11</v>
      </c>
      <c r="L196" s="1">
        <v>2</v>
      </c>
    </row>
    <row r="197" spans="1:12" ht="15" customHeight="1" x14ac:dyDescent="0.2">
      <c r="A197" s="1">
        <v>1985</v>
      </c>
      <c r="B197" s="1">
        <v>4</v>
      </c>
      <c r="C197" s="1">
        <v>2</v>
      </c>
      <c r="E197" s="1">
        <v>5</v>
      </c>
      <c r="F197" s="1">
        <v>14</v>
      </c>
      <c r="H197" s="1">
        <v>11</v>
      </c>
      <c r="I197" s="1">
        <v>2</v>
      </c>
      <c r="K197" s="1">
        <v>11</v>
      </c>
      <c r="L197" s="1">
        <v>7</v>
      </c>
    </row>
    <row r="198" spans="1:12" ht="15" customHeight="1" x14ac:dyDescent="0.2">
      <c r="A198" s="1">
        <v>1986</v>
      </c>
      <c r="B198" s="1">
        <v>5</v>
      </c>
      <c r="C198" s="1">
        <v>9</v>
      </c>
      <c r="E198" s="1">
        <v>5</v>
      </c>
      <c r="F198" s="1">
        <v>10</v>
      </c>
      <c r="H198" s="1">
        <v>10</v>
      </c>
      <c r="I198" s="1">
        <v>15</v>
      </c>
      <c r="K198" s="1">
        <v>10</v>
      </c>
      <c r="L198" s="1">
        <v>28</v>
      </c>
    </row>
    <row r="199" spans="1:12" ht="15" customHeight="1" x14ac:dyDescent="0.2">
      <c r="A199" s="1">
        <v>1987</v>
      </c>
      <c r="B199" s="1">
        <v>4</v>
      </c>
      <c r="C199" s="1">
        <v>15</v>
      </c>
      <c r="E199" s="1">
        <v>4</v>
      </c>
      <c r="F199" s="1">
        <v>15</v>
      </c>
      <c r="H199" s="1">
        <v>11</v>
      </c>
      <c r="I199" s="1">
        <v>7</v>
      </c>
      <c r="K199" s="1">
        <v>11</v>
      </c>
      <c r="L199" s="1">
        <v>10</v>
      </c>
    </row>
    <row r="200" spans="1:12" ht="15" customHeight="1" x14ac:dyDescent="0.2">
      <c r="A200" s="1">
        <v>1988</v>
      </c>
      <c r="B200" s="1">
        <v>5</v>
      </c>
      <c r="C200" s="1">
        <v>7</v>
      </c>
      <c r="E200" s="1">
        <v>5</v>
      </c>
      <c r="F200" s="1">
        <v>10</v>
      </c>
      <c r="H200" s="1">
        <v>11</v>
      </c>
      <c r="I200" s="1">
        <v>6</v>
      </c>
      <c r="K200" s="1">
        <v>11</v>
      </c>
      <c r="L200" s="1">
        <v>13</v>
      </c>
    </row>
    <row r="201" spans="1:12" ht="15" customHeight="1" x14ac:dyDescent="0.2">
      <c r="A201" s="1">
        <v>1989</v>
      </c>
      <c r="B201" s="1">
        <v>4</v>
      </c>
      <c r="C201" s="1">
        <v>28</v>
      </c>
      <c r="E201" s="1">
        <v>4</v>
      </c>
      <c r="F201" s="1">
        <v>29</v>
      </c>
      <c r="H201" s="1">
        <v>10</v>
      </c>
      <c r="I201" s="1">
        <v>27</v>
      </c>
      <c r="K201" s="1">
        <v>10</v>
      </c>
      <c r="L201" s="1">
        <v>27</v>
      </c>
    </row>
    <row r="202" spans="1:12" ht="15" customHeight="1" x14ac:dyDescent="0.2">
      <c r="A202" s="1">
        <v>1990</v>
      </c>
      <c r="B202" s="1">
        <v>3</v>
      </c>
      <c r="C202" s="1">
        <v>18</v>
      </c>
      <c r="E202" s="1">
        <v>4</v>
      </c>
      <c r="F202" s="1">
        <v>4</v>
      </c>
      <c r="H202" s="1">
        <v>10</v>
      </c>
      <c r="I202" s="1">
        <v>14</v>
      </c>
      <c r="K202" s="1">
        <v>11</v>
      </c>
      <c r="L202" s="1">
        <v>4</v>
      </c>
    </row>
    <row r="203" spans="1:12" ht="15" customHeight="1" x14ac:dyDescent="0.2">
      <c r="A203" s="1">
        <v>1991</v>
      </c>
      <c r="B203" s="1">
        <v>5</v>
      </c>
      <c r="C203" s="1">
        <v>3</v>
      </c>
      <c r="E203" s="1">
        <v>5</v>
      </c>
      <c r="F203" s="1">
        <v>4</v>
      </c>
      <c r="H203" s="1">
        <v>10</v>
      </c>
      <c r="I203" s="1">
        <v>29</v>
      </c>
      <c r="K203" s="1">
        <v>10</v>
      </c>
      <c r="L203" s="1">
        <v>29</v>
      </c>
    </row>
    <row r="204" spans="1:12" ht="15" customHeight="1" x14ac:dyDescent="0.2">
      <c r="A204" s="1">
        <v>1992</v>
      </c>
      <c r="B204" s="1">
        <v>3</v>
      </c>
      <c r="C204" s="1">
        <v>25</v>
      </c>
      <c r="E204" s="1">
        <v>4</v>
      </c>
      <c r="F204" s="1">
        <v>22</v>
      </c>
      <c r="H204" s="1">
        <v>10</v>
      </c>
      <c r="I204" s="1">
        <v>9</v>
      </c>
      <c r="K204" s="1">
        <v>10</v>
      </c>
      <c r="L204" s="1">
        <v>9</v>
      </c>
    </row>
    <row r="205" spans="1:12" ht="15" customHeight="1" x14ac:dyDescent="0.2">
      <c r="A205" s="1">
        <v>1993</v>
      </c>
      <c r="B205" s="1">
        <v>4</v>
      </c>
      <c r="C205" s="1">
        <v>15</v>
      </c>
      <c r="E205" s="1">
        <v>4</v>
      </c>
      <c r="F205" s="1">
        <v>21</v>
      </c>
      <c r="H205" s="1">
        <v>10</v>
      </c>
      <c r="I205" s="1">
        <v>28</v>
      </c>
      <c r="K205" s="1">
        <v>10</v>
      </c>
      <c r="L205" s="1">
        <v>31</v>
      </c>
    </row>
    <row r="206" spans="1:12" ht="15" customHeight="1" x14ac:dyDescent="0.2">
      <c r="A206" s="1">
        <v>1994</v>
      </c>
      <c r="B206" s="1">
        <v>4</v>
      </c>
      <c r="C206" s="1">
        <v>28</v>
      </c>
      <c r="E206" s="1">
        <v>4</v>
      </c>
      <c r="F206" s="1">
        <v>30</v>
      </c>
      <c r="H206" s="1">
        <v>10</v>
      </c>
      <c r="I206" s="1">
        <v>10</v>
      </c>
      <c r="K206" s="1">
        <v>11</v>
      </c>
      <c r="L206" s="1">
        <v>5</v>
      </c>
    </row>
    <row r="207" spans="1:12" ht="15" customHeight="1" x14ac:dyDescent="0.2">
      <c r="A207" s="1">
        <v>1995</v>
      </c>
      <c r="B207" s="1">
        <v>5</v>
      </c>
      <c r="C207" s="1">
        <v>8</v>
      </c>
      <c r="E207" s="1">
        <v>5</v>
      </c>
      <c r="F207" s="1">
        <v>8</v>
      </c>
      <c r="H207" s="1">
        <v>10</v>
      </c>
      <c r="I207" s="1">
        <v>25</v>
      </c>
      <c r="K207" s="1">
        <v>11</v>
      </c>
      <c r="L207" s="1">
        <v>19</v>
      </c>
    </row>
    <row r="208" spans="1:12" ht="15" customHeight="1" x14ac:dyDescent="0.2">
      <c r="A208" s="1">
        <v>1996</v>
      </c>
      <c r="B208" s="1">
        <v>4</v>
      </c>
      <c r="C208" s="1">
        <v>15</v>
      </c>
      <c r="E208" s="1">
        <v>4</v>
      </c>
      <c r="F208" s="1">
        <v>30</v>
      </c>
      <c r="H208" s="1">
        <v>10</v>
      </c>
      <c r="I208" s="1">
        <v>22</v>
      </c>
      <c r="K208" s="1">
        <v>10</v>
      </c>
      <c r="L208" s="1">
        <v>22</v>
      </c>
    </row>
    <row r="209" spans="1:12" ht="15" customHeight="1" x14ac:dyDescent="0.2">
      <c r="A209" s="1">
        <v>1997</v>
      </c>
      <c r="B209" s="1">
        <v>4</v>
      </c>
      <c r="C209" s="1">
        <v>25</v>
      </c>
      <c r="E209" s="1">
        <v>4</v>
      </c>
      <c r="F209" s="1">
        <v>25</v>
      </c>
      <c r="H209" s="1">
        <v>10</v>
      </c>
      <c r="I209" s="1">
        <v>13</v>
      </c>
      <c r="K209" s="1">
        <v>10</v>
      </c>
      <c r="L209" s="1">
        <v>13</v>
      </c>
    </row>
    <row r="210" spans="1:12" ht="15" customHeight="1" x14ac:dyDescent="0.2">
      <c r="A210" s="1">
        <v>1998</v>
      </c>
      <c r="B210" s="1">
        <v>4</v>
      </c>
      <c r="C210" s="1">
        <v>19</v>
      </c>
      <c r="E210" s="1">
        <v>5</v>
      </c>
      <c r="F210" s="1">
        <v>15</v>
      </c>
      <c r="H210" s="1">
        <v>10</v>
      </c>
      <c r="I210" s="1">
        <v>6</v>
      </c>
      <c r="K210" s="1">
        <v>11</v>
      </c>
      <c r="L210" s="1">
        <v>4</v>
      </c>
    </row>
    <row r="211" spans="1:12" ht="15" customHeight="1" x14ac:dyDescent="0.2">
      <c r="A211" s="1">
        <v>1999</v>
      </c>
      <c r="B211" s="1">
        <v>4</v>
      </c>
      <c r="C211" s="1">
        <v>17</v>
      </c>
      <c r="E211" s="1">
        <v>5</v>
      </c>
      <c r="F211" s="1">
        <v>2</v>
      </c>
      <c r="H211" s="1">
        <v>10</v>
      </c>
      <c r="I211" s="1">
        <v>18</v>
      </c>
      <c r="K211" s="1">
        <v>10</v>
      </c>
      <c r="L211" s="1">
        <v>18</v>
      </c>
    </row>
    <row r="212" spans="1:12" ht="15" customHeight="1" x14ac:dyDescent="0.2">
      <c r="A212" s="1">
        <v>2000</v>
      </c>
      <c r="B212" s="1">
        <v>4</v>
      </c>
      <c r="C212" s="1">
        <v>1</v>
      </c>
      <c r="E212" s="1">
        <v>4</v>
      </c>
      <c r="F212" s="1">
        <v>20</v>
      </c>
      <c r="H212" s="1">
        <v>11</v>
      </c>
      <c r="I212" s="1">
        <v>1</v>
      </c>
      <c r="K212" s="1">
        <v>11</v>
      </c>
      <c r="L212" s="1">
        <v>8</v>
      </c>
    </row>
    <row r="213" spans="1:12" ht="15" customHeight="1" x14ac:dyDescent="0.2">
      <c r="A213" s="1">
        <v>2001</v>
      </c>
      <c r="B213" s="1">
        <v>4</v>
      </c>
      <c r="C213" s="1">
        <v>13</v>
      </c>
      <c r="E213" s="1">
        <v>4</v>
      </c>
      <c r="F213" s="1">
        <v>23</v>
      </c>
      <c r="H213" s="1">
        <v>11</v>
      </c>
      <c r="I213" s="1">
        <v>20</v>
      </c>
      <c r="K213" s="1">
        <v>11</v>
      </c>
      <c r="L213" s="1">
        <v>21</v>
      </c>
    </row>
    <row r="214" spans="1:12" ht="15" customHeight="1" x14ac:dyDescent="0.2">
      <c r="A214" s="1">
        <v>2002</v>
      </c>
      <c r="B214" s="1">
        <v>4</v>
      </c>
      <c r="C214" s="1">
        <v>21</v>
      </c>
      <c r="E214" s="1">
        <v>4</v>
      </c>
      <c r="F214" s="1">
        <v>22</v>
      </c>
      <c r="H214" s="1">
        <v>10</v>
      </c>
      <c r="I214" s="1">
        <v>4</v>
      </c>
      <c r="K214" s="1">
        <v>11</v>
      </c>
      <c r="L214" s="1">
        <v>5</v>
      </c>
    </row>
    <row r="215" spans="1:12" ht="15" customHeight="1" x14ac:dyDescent="0.2">
      <c r="A215" s="1">
        <v>2003</v>
      </c>
      <c r="B215" s="1">
        <v>4</v>
      </c>
      <c r="C215" s="1">
        <v>16</v>
      </c>
      <c r="E215" s="1">
        <v>5</v>
      </c>
      <c r="F215" s="1">
        <v>11</v>
      </c>
      <c r="H215" s="1">
        <v>10</v>
      </c>
      <c r="I215" s="1">
        <v>27</v>
      </c>
      <c r="K215" s="1">
        <v>10</v>
      </c>
      <c r="L215" s="1">
        <v>27</v>
      </c>
    </row>
    <row r="216" spans="1:12" ht="15" customHeight="1" x14ac:dyDescent="0.2">
      <c r="A216" s="1">
        <v>2004</v>
      </c>
      <c r="B216" s="1">
        <v>3</v>
      </c>
      <c r="C216" s="1">
        <v>6</v>
      </c>
      <c r="E216" s="1">
        <v>3</v>
      </c>
      <c r="F216" s="1">
        <v>7</v>
      </c>
      <c r="H216" s="1">
        <v>10</v>
      </c>
      <c r="I216" s="1">
        <v>23</v>
      </c>
      <c r="K216" s="1">
        <v>11</v>
      </c>
      <c r="L216" s="1">
        <v>2</v>
      </c>
    </row>
    <row r="217" spans="1:12" ht="15" customHeight="1" x14ac:dyDescent="0.2">
      <c r="A217" s="1">
        <v>2005</v>
      </c>
      <c r="B217" s="1">
        <v>4</v>
      </c>
      <c r="C217" s="1">
        <v>27</v>
      </c>
      <c r="E217" s="1">
        <v>4</v>
      </c>
      <c r="F217" s="1">
        <v>30</v>
      </c>
      <c r="H217" s="1">
        <v>11</v>
      </c>
      <c r="I217" s="1">
        <v>1</v>
      </c>
      <c r="K217" s="1">
        <v>11</v>
      </c>
      <c r="L217" s="1">
        <v>16</v>
      </c>
    </row>
    <row r="218" spans="1:12" ht="15" customHeight="1" x14ac:dyDescent="0.2">
      <c r="A218" s="1">
        <v>2006</v>
      </c>
      <c r="B218" s="1">
        <v>4</v>
      </c>
      <c r="C218" s="1">
        <v>7</v>
      </c>
      <c r="E218" s="1">
        <v>4</v>
      </c>
      <c r="F218" s="1">
        <v>24</v>
      </c>
      <c r="H218" s="1">
        <v>10</v>
      </c>
      <c r="I218" s="1">
        <v>21</v>
      </c>
      <c r="K218" s="1">
        <v>11</v>
      </c>
      <c r="L218" s="1">
        <v>15</v>
      </c>
    </row>
    <row r="219" spans="1:12" ht="15" customHeight="1" x14ac:dyDescent="0.2">
      <c r="A219" s="1">
        <v>2007</v>
      </c>
      <c r="B219" s="1">
        <v>3</v>
      </c>
      <c r="C219" s="1">
        <v>31</v>
      </c>
      <c r="E219" s="1">
        <v>4</v>
      </c>
      <c r="F219" s="1">
        <v>22</v>
      </c>
      <c r="H219" s="1">
        <v>10</v>
      </c>
      <c r="I219" s="1">
        <v>22</v>
      </c>
      <c r="K219" s="1">
        <v>10</v>
      </c>
      <c r="L219" s="1">
        <v>22</v>
      </c>
    </row>
    <row r="220" spans="1:12" ht="15" customHeight="1" x14ac:dyDescent="0.2">
      <c r="A220" s="1">
        <v>2008</v>
      </c>
      <c r="B220" s="1">
        <v>4</v>
      </c>
      <c r="C220" s="1">
        <v>11</v>
      </c>
      <c r="E220" s="1">
        <v>5</v>
      </c>
      <c r="F220" s="1">
        <v>2</v>
      </c>
      <c r="G220" s="2"/>
      <c r="H220" s="1">
        <v>10</v>
      </c>
      <c r="I220" s="1">
        <v>13</v>
      </c>
      <c r="K220" s="1">
        <v>10</v>
      </c>
      <c r="L220" s="1">
        <v>13</v>
      </c>
    </row>
    <row r="221" spans="1:12" ht="15" customHeight="1" x14ac:dyDescent="0.2">
      <c r="A221" s="1">
        <v>2009</v>
      </c>
      <c r="B221" s="1">
        <v>4</v>
      </c>
      <c r="C221" s="1">
        <v>18</v>
      </c>
      <c r="E221" s="1">
        <v>4</v>
      </c>
      <c r="F221" s="1">
        <v>27</v>
      </c>
      <c r="H221" s="1">
        <v>10</v>
      </c>
      <c r="I221" s="1">
        <v>9</v>
      </c>
      <c r="K221" s="1">
        <v>10</v>
      </c>
      <c r="L221" s="1">
        <v>26</v>
      </c>
    </row>
    <row r="222" spans="1:12" ht="15" customHeight="1" x14ac:dyDescent="0.2">
      <c r="A222" s="1">
        <v>2010</v>
      </c>
      <c r="B222" s="1">
        <v>5</v>
      </c>
      <c r="C222" s="1">
        <v>1</v>
      </c>
      <c r="E222" s="1">
        <v>5</v>
      </c>
      <c r="F222" s="1">
        <v>4</v>
      </c>
      <c r="H222" s="1">
        <v>11</v>
      </c>
      <c r="I222" s="1">
        <v>3</v>
      </c>
      <c r="K222" s="1">
        <v>11</v>
      </c>
      <c r="L222" s="1">
        <v>8</v>
      </c>
    </row>
    <row r="223" spans="1:12" ht="15" customHeight="1" x14ac:dyDescent="0.2">
      <c r="A223" s="1">
        <v>2011</v>
      </c>
      <c r="B223" s="1">
        <v>4</v>
      </c>
      <c r="C223" s="1">
        <v>11</v>
      </c>
      <c r="E223" s="1">
        <v>5</v>
      </c>
      <c r="F223" s="1">
        <v>2</v>
      </c>
      <c r="H223" s="1">
        <v>10</v>
      </c>
      <c r="I223" s="1">
        <v>30</v>
      </c>
      <c r="K223" s="1">
        <v>11</v>
      </c>
      <c r="L223" s="1">
        <v>4</v>
      </c>
    </row>
    <row r="224" spans="1:12" ht="15" customHeight="1" x14ac:dyDescent="0.2">
      <c r="A224" s="1">
        <v>2012</v>
      </c>
      <c r="B224" s="1">
        <v>4</v>
      </c>
      <c r="C224" s="1">
        <v>16</v>
      </c>
      <c r="E224" s="1">
        <v>4</v>
      </c>
      <c r="F224" s="1">
        <v>17</v>
      </c>
      <c r="H224" s="1">
        <v>10</v>
      </c>
      <c r="I224" s="1">
        <v>26</v>
      </c>
      <c r="K224" s="1">
        <v>11</v>
      </c>
      <c r="L224" s="1">
        <v>11</v>
      </c>
    </row>
    <row r="225" spans="1:12" ht="15" customHeight="1" x14ac:dyDescent="0.2">
      <c r="A225" s="1">
        <v>2013</v>
      </c>
      <c r="B225" s="1">
        <v>4</v>
      </c>
      <c r="C225" s="1">
        <v>20</v>
      </c>
      <c r="E225" s="1">
        <v>4</v>
      </c>
      <c r="F225" s="1">
        <v>20</v>
      </c>
      <c r="H225" s="1">
        <v>10</v>
      </c>
      <c r="I225" s="1">
        <v>17</v>
      </c>
      <c r="K225" s="1">
        <v>10</v>
      </c>
      <c r="L225" s="1">
        <v>20</v>
      </c>
    </row>
    <row r="226" spans="1:12" ht="15" customHeight="1" x14ac:dyDescent="0.2">
      <c r="A226" s="1">
        <v>2014</v>
      </c>
      <c r="B226" s="1">
        <v>3</v>
      </c>
      <c r="C226" s="1">
        <v>17</v>
      </c>
      <c r="E226" s="1">
        <v>5</v>
      </c>
      <c r="F226" s="1">
        <v>9</v>
      </c>
      <c r="H226" s="1">
        <v>11</v>
      </c>
      <c r="I226" s="1">
        <v>4</v>
      </c>
      <c r="K226" s="1">
        <v>11</v>
      </c>
      <c r="L226" s="1">
        <v>17</v>
      </c>
    </row>
    <row r="227" spans="1:12" ht="15" customHeight="1" x14ac:dyDescent="0.2">
      <c r="A227" s="1">
        <v>2015</v>
      </c>
      <c r="B227" s="1">
        <v>4</v>
      </c>
      <c r="C227" s="1">
        <v>17</v>
      </c>
      <c r="E227" s="1">
        <v>4</v>
      </c>
      <c r="F227" s="1">
        <v>18</v>
      </c>
      <c r="H227" s="1">
        <v>11</v>
      </c>
      <c r="I227" s="1">
        <v>6</v>
      </c>
      <c r="K227" s="1">
        <v>11</v>
      </c>
      <c r="L227" s="1">
        <v>6</v>
      </c>
    </row>
    <row r="228" spans="1:12" ht="15" customHeight="1" x14ac:dyDescent="0.2">
      <c r="A228" s="1">
        <v>2016</v>
      </c>
      <c r="B228" s="1">
        <v>4</v>
      </c>
      <c r="C228" s="1">
        <v>7</v>
      </c>
      <c r="E228" s="1">
        <v>4</v>
      </c>
      <c r="F228" s="1">
        <v>7</v>
      </c>
      <c r="H228" s="1">
        <v>11</v>
      </c>
      <c r="I228" s="1">
        <v>13</v>
      </c>
      <c r="K228" s="1">
        <v>11</v>
      </c>
      <c r="L228" s="1">
        <v>14</v>
      </c>
    </row>
    <row r="229" spans="1:12" ht="15" customHeight="1" x14ac:dyDescent="0.2">
      <c r="A229" s="1">
        <v>2017</v>
      </c>
      <c r="B229" s="1">
        <v>4</v>
      </c>
      <c r="C229" s="1">
        <v>30</v>
      </c>
      <c r="E229" s="1">
        <v>4</v>
      </c>
      <c r="F229" s="1">
        <v>30</v>
      </c>
      <c r="H229" s="1">
        <v>11</v>
      </c>
      <c r="I229" s="1">
        <v>19</v>
      </c>
      <c r="K229" s="1">
        <v>11</v>
      </c>
      <c r="L229" s="1">
        <v>20</v>
      </c>
    </row>
    <row r="230" spans="1:12" ht="15" customHeight="1" x14ac:dyDescent="0.2">
      <c r="A230" s="1">
        <v>2018</v>
      </c>
      <c r="B230" s="1">
        <v>4</v>
      </c>
      <c r="C230" s="1">
        <v>15</v>
      </c>
      <c r="E230" s="1">
        <v>4</v>
      </c>
      <c r="F230" s="1">
        <v>15</v>
      </c>
      <c r="H230" s="1">
        <v>11</v>
      </c>
      <c r="I230" s="1">
        <v>1</v>
      </c>
      <c r="K230" s="1">
        <v>11</v>
      </c>
      <c r="L230" s="1">
        <v>2</v>
      </c>
    </row>
    <row r="231" spans="1:12" ht="15" customHeight="1" x14ac:dyDescent="0.2">
      <c r="A231" s="1">
        <v>2019</v>
      </c>
      <c r="B231" s="1">
        <v>4</v>
      </c>
      <c r="C231" s="1">
        <v>13</v>
      </c>
      <c r="E231" s="1">
        <v>5</v>
      </c>
      <c r="F231" s="1">
        <v>21</v>
      </c>
      <c r="H231" s="1">
        <v>10</v>
      </c>
      <c r="I231" s="1">
        <v>21</v>
      </c>
      <c r="K231" s="1">
        <v>10</v>
      </c>
      <c r="L231" s="1">
        <v>26</v>
      </c>
    </row>
    <row r="232" spans="1:12" ht="15" customHeight="1" x14ac:dyDescent="0.2">
      <c r="A232" s="1">
        <v>2020</v>
      </c>
      <c r="B232" s="1">
        <v>4</v>
      </c>
      <c r="C232" s="1">
        <v>16</v>
      </c>
      <c r="E232" s="1">
        <v>4</v>
      </c>
      <c r="F232" s="1">
        <v>16</v>
      </c>
      <c r="H232" s="1">
        <v>10</v>
      </c>
      <c r="I232" s="1">
        <v>28</v>
      </c>
      <c r="K232" s="1">
        <v>10</v>
      </c>
      <c r="L232" s="1">
        <v>28</v>
      </c>
    </row>
    <row r="233" spans="1:12" ht="15" customHeight="1" x14ac:dyDescent="0.2">
      <c r="A233" s="1">
        <v>2021</v>
      </c>
      <c r="B233" s="1">
        <v>3</v>
      </c>
      <c r="C233" s="1">
        <v>28</v>
      </c>
      <c r="E233" s="1">
        <v>4</v>
      </c>
      <c r="F233" s="1">
        <v>17</v>
      </c>
      <c r="H233" s="1">
        <v>10</v>
      </c>
      <c r="I233" s="1">
        <v>13</v>
      </c>
      <c r="K233" s="1">
        <v>10</v>
      </c>
      <c r="L233" s="1">
        <v>13</v>
      </c>
    </row>
    <row r="234" spans="1:12" ht="15" customHeight="1" x14ac:dyDescent="0.2">
      <c r="A234" s="1">
        <v>2022</v>
      </c>
      <c r="B234" s="1">
        <v>5</v>
      </c>
      <c r="C234" s="1">
        <v>13</v>
      </c>
      <c r="E234" s="1">
        <v>5</v>
      </c>
      <c r="F234" s="1">
        <v>13</v>
      </c>
      <c r="H234" s="1">
        <v>10</v>
      </c>
      <c r="I234" s="1">
        <v>12</v>
      </c>
      <c r="K234" s="1">
        <v>10</v>
      </c>
      <c r="L234" s="1">
        <v>28</v>
      </c>
    </row>
    <row r="235" spans="1:12" ht="15" customHeight="1" x14ac:dyDescent="0.2">
      <c r="A235" s="1">
        <v>2023</v>
      </c>
      <c r="B235" s="1">
        <v>4</v>
      </c>
      <c r="C235" s="1">
        <v>6</v>
      </c>
      <c r="E235" s="1">
        <v>4</v>
      </c>
      <c r="F235" s="1">
        <v>7</v>
      </c>
      <c r="H235" s="1">
        <v>11</v>
      </c>
      <c r="I235" s="1">
        <v>2</v>
      </c>
      <c r="K235" s="1">
        <v>11</v>
      </c>
      <c r="L235" s="1">
        <v>3</v>
      </c>
    </row>
    <row r="236" spans="1:12" ht="15" customHeight="1" x14ac:dyDescent="0.2">
      <c r="A236" s="1">
        <v>2024</v>
      </c>
      <c r="B236" s="1">
        <v>3</v>
      </c>
      <c r="C236" s="1">
        <v>26</v>
      </c>
      <c r="E236" s="1">
        <v>3</v>
      </c>
      <c r="F236" s="1">
        <v>26</v>
      </c>
      <c r="H236" s="1">
        <v>11</v>
      </c>
      <c r="I236" s="1">
        <v>4</v>
      </c>
      <c r="K236" s="1">
        <v>11</v>
      </c>
      <c r="L236" s="1">
        <v>5</v>
      </c>
    </row>
  </sheetData>
  <sheetProtection algorithmName="SHA-512" hashValue="NJAMRLmJ3HQjQ3kiw02VO/gqU1R2x6epCW+Feu5ujqlGjq/U9pRq1fsdNuw29NuUQxKKbqSNW4KGBKbw/E28HA==" saltValue="w3CkjiYxTh8I663PPwnzgA==" spinCount="100000" sheet="1" objects="1" scenarios="1"/>
  <phoneticPr fontId="0" type="noConversion"/>
  <printOptions horizontalCentered="1" gridLines="1"/>
  <pageMargins left="0.75" right="0.75" top="1" bottom="0.75" header="0.5" footer="0.5"/>
  <pageSetup scale="95" fitToHeight="4" orientation="portrait" r:id="rId1"/>
  <headerFooter alignWithMargins="0">
    <oddFooter>&amp;R&amp;9virden valley</oddFooter>
  </headerFooter>
  <rowBreaks count="3" manualBreakCount="3">
    <brk id="59" max="12" man="1"/>
    <brk id="118" max="12" man="1"/>
    <brk id="174" max="1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016F-8350-4792-B513-246BF017BF5F}">
  <dimension ref="A1:M236"/>
  <sheetViews>
    <sheetView workbookViewId="0">
      <selection sqref="A1:XFD1"/>
    </sheetView>
  </sheetViews>
  <sheetFormatPr defaultColWidth="6" defaultRowHeight="15" x14ac:dyDescent="0.2"/>
  <sheetData>
    <row r="1" spans="1:13" x14ac:dyDescent="0.2">
      <c r="A1" s="2" t="s">
        <v>10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13"/>
      <c r="L1" s="2"/>
      <c r="M1" s="2"/>
    </row>
    <row r="2" spans="1:13" x14ac:dyDescent="0.2">
      <c r="A2" s="2"/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</row>
    <row r="3" spans="1:13" x14ac:dyDescent="0.2">
      <c r="A3" s="1">
        <v>1968</v>
      </c>
      <c r="B3" s="4">
        <v>0.47</v>
      </c>
      <c r="C3" s="4">
        <v>1.19</v>
      </c>
      <c r="D3" s="4">
        <v>1.76</v>
      </c>
      <c r="E3" s="4">
        <v>0.2</v>
      </c>
      <c r="F3" s="4">
        <v>0</v>
      </c>
      <c r="G3" s="4">
        <v>0</v>
      </c>
      <c r="H3" s="4">
        <v>2.08</v>
      </c>
      <c r="I3" s="4">
        <v>1.28</v>
      </c>
      <c r="J3" s="4">
        <v>0</v>
      </c>
      <c r="K3" s="4">
        <v>0</v>
      </c>
      <c r="L3" s="4">
        <v>0.77</v>
      </c>
      <c r="M3" s="4">
        <v>0.51</v>
      </c>
    </row>
    <row r="4" spans="1:13" x14ac:dyDescent="0.2">
      <c r="A4" s="1">
        <v>1969</v>
      </c>
      <c r="B4" s="4">
        <v>0.12</v>
      </c>
      <c r="C4" s="4">
        <v>0.54</v>
      </c>
      <c r="D4" s="4">
        <v>0.31</v>
      </c>
      <c r="E4" s="4">
        <v>0</v>
      </c>
      <c r="F4" s="4">
        <v>0.39</v>
      </c>
      <c r="G4" s="4">
        <v>0</v>
      </c>
      <c r="H4" s="4">
        <v>3.48</v>
      </c>
      <c r="I4" s="4">
        <v>1.08</v>
      </c>
      <c r="J4" s="4">
        <v>1.89</v>
      </c>
      <c r="K4" s="4">
        <v>0.9</v>
      </c>
      <c r="L4" s="4">
        <v>0</v>
      </c>
      <c r="M4" s="4">
        <v>0.78</v>
      </c>
    </row>
    <row r="5" spans="1:13" x14ac:dyDescent="0.2">
      <c r="A5" s="1">
        <v>1970</v>
      </c>
      <c r="B5" s="4">
        <v>0</v>
      </c>
      <c r="C5" s="4">
        <v>0.55000000000000004</v>
      </c>
      <c r="D5" s="4">
        <v>0.89</v>
      </c>
      <c r="E5" s="4">
        <v>0.4</v>
      </c>
      <c r="F5" s="4">
        <v>0.1</v>
      </c>
      <c r="G5" s="4">
        <v>0.89</v>
      </c>
      <c r="H5" s="4">
        <v>2.0299999999999998</v>
      </c>
      <c r="I5" s="4">
        <v>3.26</v>
      </c>
      <c r="J5" s="4">
        <v>0.84</v>
      </c>
      <c r="K5" s="4">
        <v>0.19</v>
      </c>
      <c r="L5" s="4">
        <v>0</v>
      </c>
      <c r="M5" s="4">
        <v>0.64</v>
      </c>
    </row>
    <row r="6" spans="1:13" x14ac:dyDescent="0.2">
      <c r="A6" s="1">
        <v>1971</v>
      </c>
      <c r="B6" s="4">
        <v>0</v>
      </c>
      <c r="C6" s="4">
        <v>0.19</v>
      </c>
      <c r="D6" s="4">
        <v>0</v>
      </c>
      <c r="E6" s="4">
        <v>0.16</v>
      </c>
      <c r="F6" s="4">
        <v>0.06</v>
      </c>
      <c r="G6" s="4">
        <v>0.04</v>
      </c>
      <c r="H6" s="4">
        <v>1.96</v>
      </c>
      <c r="I6" s="4">
        <v>2.94</v>
      </c>
      <c r="J6" s="4">
        <v>1.01</v>
      </c>
      <c r="K6" s="4">
        <v>2.86</v>
      </c>
      <c r="L6" s="4">
        <v>0.45</v>
      </c>
      <c r="M6" s="4">
        <v>2.0499999999999998</v>
      </c>
    </row>
    <row r="7" spans="1:13" x14ac:dyDescent="0.2">
      <c r="A7" s="1">
        <v>1972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0.87</v>
      </c>
      <c r="H7" s="4">
        <v>1.45</v>
      </c>
      <c r="I7" s="4">
        <v>4.1399999999999997</v>
      </c>
      <c r="J7" s="4">
        <v>1.61</v>
      </c>
      <c r="K7" s="4">
        <v>5.86</v>
      </c>
      <c r="L7" s="4">
        <v>0.6</v>
      </c>
      <c r="M7" s="4">
        <v>0.75</v>
      </c>
    </row>
    <row r="8" spans="1:13" x14ac:dyDescent="0.2">
      <c r="A8" s="1">
        <v>1973</v>
      </c>
      <c r="B8" s="4">
        <v>0.78</v>
      </c>
      <c r="C8" s="4">
        <v>1.8</v>
      </c>
      <c r="D8" s="4">
        <v>1.34</v>
      </c>
      <c r="E8" s="4">
        <v>0</v>
      </c>
      <c r="F8" s="4">
        <v>1.1499999999999999</v>
      </c>
      <c r="G8" s="4">
        <v>0.18</v>
      </c>
      <c r="H8" s="4">
        <v>1.18</v>
      </c>
      <c r="I8" s="4">
        <v>1.73</v>
      </c>
      <c r="J8" s="4">
        <v>0.45</v>
      </c>
      <c r="K8" s="4">
        <v>0</v>
      </c>
      <c r="L8" s="4">
        <v>0.08</v>
      </c>
      <c r="M8" s="4">
        <v>0</v>
      </c>
    </row>
    <row r="9" spans="1:13" x14ac:dyDescent="0.2">
      <c r="A9" s="1">
        <v>1974</v>
      </c>
      <c r="B9" s="4">
        <v>0.63</v>
      </c>
      <c r="C9" s="4">
        <v>0</v>
      </c>
      <c r="D9" s="4">
        <v>0.35</v>
      </c>
      <c r="E9" s="4">
        <v>0</v>
      </c>
      <c r="F9" s="4">
        <v>0</v>
      </c>
      <c r="G9" s="4">
        <v>0.26</v>
      </c>
      <c r="H9" s="4">
        <v>2.59</v>
      </c>
      <c r="I9" s="4">
        <v>2.0499999999999998</v>
      </c>
      <c r="J9" s="4">
        <v>3</v>
      </c>
      <c r="K9" s="4">
        <v>2.41</v>
      </c>
      <c r="L9" s="4">
        <v>0.26</v>
      </c>
      <c r="M9" s="4">
        <v>7.0000000000000007E-2</v>
      </c>
    </row>
    <row r="10" spans="1:13" x14ac:dyDescent="0.2">
      <c r="A10" s="1">
        <v>1975</v>
      </c>
      <c r="B10" s="4">
        <v>1.0900000000000001</v>
      </c>
      <c r="C10" s="4">
        <v>0.4</v>
      </c>
      <c r="D10" s="4">
        <v>0.96</v>
      </c>
      <c r="E10" s="4">
        <v>0.09</v>
      </c>
      <c r="F10" s="4">
        <v>0</v>
      </c>
      <c r="G10" s="4">
        <v>0</v>
      </c>
      <c r="H10" s="4">
        <v>4.32</v>
      </c>
      <c r="I10" s="4">
        <v>1.44</v>
      </c>
      <c r="J10" s="4">
        <v>1.95</v>
      </c>
      <c r="K10" s="4">
        <v>0.21</v>
      </c>
      <c r="L10" s="4">
        <v>0.68</v>
      </c>
      <c r="M10" s="4">
        <v>0.63</v>
      </c>
    </row>
    <row r="11" spans="1:13" x14ac:dyDescent="0.2">
      <c r="A11" s="1">
        <v>1976</v>
      </c>
      <c r="B11" s="4">
        <v>0.41</v>
      </c>
      <c r="C11" s="4">
        <v>0.51</v>
      </c>
      <c r="D11" s="4">
        <v>0</v>
      </c>
      <c r="E11" s="4">
        <v>0</v>
      </c>
      <c r="F11" s="4">
        <v>0.83</v>
      </c>
      <c r="G11" s="4">
        <v>0</v>
      </c>
      <c r="H11" s="4">
        <v>1.85</v>
      </c>
      <c r="I11" s="4">
        <v>0.41</v>
      </c>
      <c r="J11" s="4">
        <v>2.66</v>
      </c>
      <c r="K11" s="4">
        <v>1.77</v>
      </c>
      <c r="L11" s="4">
        <v>0.34</v>
      </c>
      <c r="M11" s="4">
        <v>0</v>
      </c>
    </row>
    <row r="12" spans="1:13" x14ac:dyDescent="0.2">
      <c r="A12" s="1">
        <v>1977</v>
      </c>
      <c r="B12" s="4">
        <v>0.41</v>
      </c>
      <c r="C12" s="4">
        <v>0.52</v>
      </c>
      <c r="D12" s="4">
        <v>0.56999999999999995</v>
      </c>
      <c r="E12" s="4">
        <v>0.13</v>
      </c>
      <c r="F12" s="4">
        <v>0.27</v>
      </c>
      <c r="G12" s="4">
        <v>0.34</v>
      </c>
      <c r="H12" s="4">
        <v>5.42</v>
      </c>
      <c r="I12" s="4">
        <v>2.37</v>
      </c>
      <c r="J12" s="4">
        <v>0.88</v>
      </c>
      <c r="K12" s="4">
        <v>1.77</v>
      </c>
      <c r="L12" s="4">
        <v>0.72</v>
      </c>
      <c r="M12" s="4">
        <v>0.71</v>
      </c>
    </row>
    <row r="13" spans="1:13" x14ac:dyDescent="0.2">
      <c r="A13" s="1">
        <v>1978</v>
      </c>
      <c r="B13" s="4">
        <v>2.1800000000000002</v>
      </c>
      <c r="C13" s="4">
        <v>1.37</v>
      </c>
      <c r="D13" s="4">
        <v>0.35</v>
      </c>
      <c r="E13" s="4">
        <v>0.01</v>
      </c>
      <c r="F13" s="4">
        <v>0.32</v>
      </c>
      <c r="G13" s="4">
        <v>0.1</v>
      </c>
      <c r="H13" s="4">
        <v>1.58</v>
      </c>
      <c r="I13" s="4">
        <v>0.5</v>
      </c>
      <c r="J13" s="4">
        <v>0.24</v>
      </c>
      <c r="K13" s="4">
        <v>1.17</v>
      </c>
      <c r="L13" s="4">
        <v>0.94</v>
      </c>
      <c r="M13" s="4">
        <v>1.46</v>
      </c>
    </row>
    <row r="14" spans="1:13" x14ac:dyDescent="0.2">
      <c r="A14" s="1">
        <v>1979</v>
      </c>
      <c r="B14" s="4">
        <v>0.92</v>
      </c>
      <c r="C14" s="4">
        <v>0.79</v>
      </c>
      <c r="D14" s="4">
        <v>0.33</v>
      </c>
      <c r="E14" s="4">
        <v>0.2</v>
      </c>
      <c r="F14" s="4">
        <v>0.43</v>
      </c>
      <c r="G14" s="4">
        <v>1.07</v>
      </c>
      <c r="H14" s="4">
        <v>1.27</v>
      </c>
      <c r="I14" s="4">
        <v>1.98</v>
      </c>
      <c r="J14" s="4">
        <v>0.62</v>
      </c>
      <c r="K14" s="4">
        <v>0</v>
      </c>
      <c r="L14" s="4">
        <v>7.0000000000000007E-2</v>
      </c>
      <c r="M14" s="4">
        <v>0.51</v>
      </c>
    </row>
    <row r="15" spans="1:13" x14ac:dyDescent="0.2">
      <c r="A15" s="1">
        <v>1980</v>
      </c>
      <c r="B15" s="4">
        <v>0.7</v>
      </c>
      <c r="C15" s="4">
        <v>1.41</v>
      </c>
      <c r="D15" s="4">
        <v>0.21</v>
      </c>
      <c r="E15" s="4">
        <v>0.09</v>
      </c>
      <c r="F15" s="4">
        <v>0.14000000000000001</v>
      </c>
      <c r="G15" s="4">
        <v>0.45</v>
      </c>
      <c r="H15" s="4">
        <v>1.56</v>
      </c>
      <c r="I15" s="4">
        <v>2.54</v>
      </c>
      <c r="J15" s="4">
        <v>0.56000000000000005</v>
      </c>
      <c r="K15" s="4">
        <v>0.12</v>
      </c>
      <c r="L15" s="4">
        <v>0.14000000000000001</v>
      </c>
      <c r="M15" s="4">
        <v>7.0000000000000007E-2</v>
      </c>
    </row>
    <row r="16" spans="1:13" x14ac:dyDescent="0.2">
      <c r="A16" s="1">
        <v>1981</v>
      </c>
      <c r="B16" s="4">
        <v>1.56</v>
      </c>
      <c r="C16" s="4">
        <v>0.15</v>
      </c>
      <c r="D16" s="4">
        <v>0.85</v>
      </c>
      <c r="E16" s="4">
        <v>0.57999999999999996</v>
      </c>
      <c r="F16" s="4">
        <v>0.38</v>
      </c>
      <c r="G16" s="4">
        <v>1.2</v>
      </c>
      <c r="H16" s="4">
        <v>2.77</v>
      </c>
      <c r="I16" s="4">
        <v>1.86</v>
      </c>
      <c r="J16" s="4">
        <v>0.39</v>
      </c>
      <c r="K16" s="4">
        <v>0.61</v>
      </c>
      <c r="L16" s="4">
        <v>1.5</v>
      </c>
      <c r="M16" s="4">
        <v>0.03</v>
      </c>
    </row>
    <row r="17" spans="1:13" x14ac:dyDescent="0.2">
      <c r="A17" s="1">
        <v>1982</v>
      </c>
      <c r="B17" s="4">
        <v>0.53</v>
      </c>
      <c r="C17" s="4">
        <v>0.17</v>
      </c>
      <c r="D17" s="4">
        <v>0.69</v>
      </c>
      <c r="E17" s="4">
        <v>0</v>
      </c>
      <c r="F17" s="4">
        <v>0.45</v>
      </c>
      <c r="G17" s="4">
        <v>0.63</v>
      </c>
      <c r="H17" s="4">
        <v>1.17</v>
      </c>
      <c r="I17" s="4">
        <v>1.71</v>
      </c>
      <c r="J17" s="4">
        <v>1.76</v>
      </c>
      <c r="K17" s="4">
        <v>0</v>
      </c>
      <c r="L17" s="4">
        <v>0.81</v>
      </c>
      <c r="M17" s="4">
        <v>2.83</v>
      </c>
    </row>
    <row r="18" spans="1:13" x14ac:dyDescent="0.2">
      <c r="A18" s="1">
        <v>1983</v>
      </c>
      <c r="B18" s="4">
        <v>0.94</v>
      </c>
      <c r="C18" s="4">
        <v>0.54</v>
      </c>
      <c r="D18" s="4">
        <v>0.95</v>
      </c>
      <c r="E18" s="4">
        <v>0.67</v>
      </c>
      <c r="F18" s="4">
        <v>0</v>
      </c>
      <c r="G18" s="4">
        <v>0.03</v>
      </c>
      <c r="H18" s="4">
        <v>3.61</v>
      </c>
      <c r="I18" s="4">
        <v>0.97</v>
      </c>
      <c r="J18" s="4">
        <v>4.0999999999999996</v>
      </c>
      <c r="K18" s="4">
        <v>2.65</v>
      </c>
      <c r="L18" s="4">
        <v>2.1</v>
      </c>
      <c r="M18" s="4">
        <v>0.79</v>
      </c>
    </row>
    <row r="19" spans="1:13" x14ac:dyDescent="0.2">
      <c r="A19" s="1">
        <v>1984</v>
      </c>
      <c r="B19" s="4">
        <v>0.69</v>
      </c>
      <c r="C19" s="4">
        <v>0</v>
      </c>
      <c r="D19" s="4">
        <v>0.35</v>
      </c>
      <c r="E19" s="4">
        <v>0.13</v>
      </c>
      <c r="F19" s="4">
        <v>0.09</v>
      </c>
      <c r="G19" s="4">
        <v>0.72</v>
      </c>
      <c r="H19" s="4">
        <v>2.4300000000000002</v>
      </c>
      <c r="I19" s="4">
        <v>2.59</v>
      </c>
      <c r="J19" s="4">
        <v>0.24</v>
      </c>
      <c r="K19" s="4">
        <v>2.73</v>
      </c>
      <c r="L19" s="4">
        <v>0.82</v>
      </c>
      <c r="M19" s="4">
        <v>2.7</v>
      </c>
    </row>
    <row r="20" spans="1:13" x14ac:dyDescent="0.2">
      <c r="A20" s="1">
        <v>1985</v>
      </c>
      <c r="B20" s="4">
        <v>1.83</v>
      </c>
      <c r="C20" s="4">
        <v>0.71</v>
      </c>
      <c r="D20" s="4">
        <v>0.7</v>
      </c>
      <c r="E20" s="4">
        <v>0.54</v>
      </c>
      <c r="F20" s="4">
        <v>0.22</v>
      </c>
      <c r="G20" s="4">
        <v>1.07</v>
      </c>
      <c r="H20" s="4">
        <v>2.39</v>
      </c>
      <c r="I20" s="4">
        <v>1.07</v>
      </c>
      <c r="J20" s="4">
        <v>3.02</v>
      </c>
      <c r="K20" s="4">
        <v>3.49</v>
      </c>
      <c r="L20" s="4">
        <v>1.46</v>
      </c>
      <c r="M20" s="4">
        <v>0.28000000000000003</v>
      </c>
    </row>
    <row r="21" spans="1:13" x14ac:dyDescent="0.2">
      <c r="A21" s="1">
        <v>1986</v>
      </c>
      <c r="B21" s="4">
        <v>0.11</v>
      </c>
      <c r="C21" s="4">
        <v>0.71</v>
      </c>
      <c r="D21" s="4">
        <v>0.46</v>
      </c>
      <c r="E21" s="4">
        <v>7.0000000000000007E-2</v>
      </c>
      <c r="F21" s="4">
        <v>0.22</v>
      </c>
      <c r="G21" s="4">
        <v>0.94</v>
      </c>
      <c r="H21" s="4">
        <v>1.53</v>
      </c>
      <c r="I21" s="4">
        <v>3.48</v>
      </c>
      <c r="J21" s="4">
        <v>1</v>
      </c>
      <c r="K21" s="4">
        <v>1.17</v>
      </c>
      <c r="L21" s="4">
        <v>1.64</v>
      </c>
      <c r="M21" s="4">
        <v>2.48</v>
      </c>
    </row>
    <row r="22" spans="1:13" x14ac:dyDescent="0.2">
      <c r="A22" s="1">
        <v>1987</v>
      </c>
      <c r="B22" s="4">
        <v>1</v>
      </c>
      <c r="C22" s="4">
        <v>0.44</v>
      </c>
      <c r="D22" s="4">
        <v>0.28000000000000003</v>
      </c>
      <c r="E22" s="4">
        <v>0.08</v>
      </c>
      <c r="F22" s="4">
        <v>0.61</v>
      </c>
      <c r="G22" s="4">
        <v>0.38</v>
      </c>
      <c r="H22" s="4">
        <v>1.7</v>
      </c>
      <c r="I22" s="4">
        <v>3.92</v>
      </c>
      <c r="J22" s="4">
        <v>1.48</v>
      </c>
      <c r="K22" s="4">
        <v>1.17</v>
      </c>
      <c r="L22" s="4">
        <v>0.09</v>
      </c>
      <c r="M22" s="4">
        <v>1.74</v>
      </c>
    </row>
    <row r="23" spans="1:13" x14ac:dyDescent="0.2">
      <c r="A23" s="1">
        <v>1988</v>
      </c>
      <c r="B23" s="4">
        <v>1.2</v>
      </c>
      <c r="C23" s="4">
        <v>0.9</v>
      </c>
      <c r="D23" s="4">
        <v>0.11</v>
      </c>
      <c r="E23" s="4">
        <v>0.81</v>
      </c>
      <c r="F23" s="4">
        <v>0</v>
      </c>
      <c r="G23" s="4">
        <v>0.27</v>
      </c>
      <c r="H23" s="4">
        <v>4.6399999999999997</v>
      </c>
      <c r="I23" s="4">
        <v>4.0199999999999996</v>
      </c>
      <c r="J23" s="4">
        <v>2.27</v>
      </c>
      <c r="K23" s="4">
        <v>2.48</v>
      </c>
      <c r="L23" s="4">
        <v>0.26</v>
      </c>
      <c r="M23" s="4">
        <v>0.54</v>
      </c>
    </row>
    <row r="24" spans="1:13" x14ac:dyDescent="0.2">
      <c r="A24" s="1">
        <v>1989</v>
      </c>
      <c r="B24" s="4">
        <v>0.54</v>
      </c>
      <c r="C24" s="4">
        <v>0.56000000000000005</v>
      </c>
      <c r="D24" s="4">
        <v>0.45</v>
      </c>
      <c r="E24" s="4">
        <v>0</v>
      </c>
      <c r="F24" s="4">
        <v>0.27</v>
      </c>
      <c r="G24" s="4">
        <v>0</v>
      </c>
      <c r="H24" s="4">
        <v>1.78</v>
      </c>
      <c r="I24" s="4">
        <v>1.03</v>
      </c>
      <c r="J24" s="4">
        <v>1.49</v>
      </c>
      <c r="K24" s="4">
        <v>0.63</v>
      </c>
      <c r="L24" s="4">
        <v>0</v>
      </c>
      <c r="M24" s="4">
        <v>0.18</v>
      </c>
    </row>
    <row r="25" spans="1:13" x14ac:dyDescent="0.2">
      <c r="A25" s="1">
        <v>1990</v>
      </c>
      <c r="B25" s="4">
        <v>0.59</v>
      </c>
      <c r="C25" s="4">
        <v>0.56000000000000005</v>
      </c>
      <c r="D25" s="4">
        <v>0.25</v>
      </c>
      <c r="E25" s="4">
        <v>0.09</v>
      </c>
      <c r="F25" s="4">
        <v>0.23</v>
      </c>
      <c r="G25" s="4">
        <v>0.19</v>
      </c>
      <c r="H25" s="4">
        <v>2.39</v>
      </c>
      <c r="I25" s="4">
        <v>4.1900000000000004</v>
      </c>
      <c r="J25" s="4">
        <v>2.39</v>
      </c>
      <c r="K25" s="4">
        <v>0.78</v>
      </c>
      <c r="L25" s="4">
        <v>2.54</v>
      </c>
      <c r="M25" s="4">
        <v>1.44</v>
      </c>
    </row>
    <row r="26" spans="1:13" x14ac:dyDescent="0.2">
      <c r="A26" s="1">
        <v>1991</v>
      </c>
      <c r="B26" s="4">
        <v>0.96</v>
      </c>
      <c r="C26" s="4">
        <v>0.95</v>
      </c>
      <c r="D26" s="4">
        <v>0.54</v>
      </c>
      <c r="E26" s="4">
        <v>0</v>
      </c>
      <c r="F26" s="4">
        <v>0</v>
      </c>
      <c r="G26" s="4">
        <v>0.96</v>
      </c>
      <c r="H26" s="4">
        <v>4.1500000000000004</v>
      </c>
      <c r="I26" s="4">
        <v>4.3499999999999996</v>
      </c>
      <c r="J26" s="4">
        <v>1.98</v>
      </c>
      <c r="K26" s="4">
        <v>0.34</v>
      </c>
      <c r="L26" s="4">
        <v>0.2</v>
      </c>
      <c r="M26" s="4">
        <v>5.24</v>
      </c>
    </row>
    <row r="27" spans="1:13" x14ac:dyDescent="0.2">
      <c r="A27" s="1">
        <v>1992</v>
      </c>
      <c r="B27" s="4">
        <v>0.89</v>
      </c>
      <c r="C27" s="4">
        <v>0.49</v>
      </c>
      <c r="D27" s="4">
        <v>0.94</v>
      </c>
      <c r="E27" s="4">
        <v>0.79</v>
      </c>
      <c r="F27" s="4">
        <v>1.36</v>
      </c>
      <c r="G27" s="4">
        <v>0.2</v>
      </c>
      <c r="H27" s="4">
        <v>2.82</v>
      </c>
      <c r="I27" s="4">
        <v>1.9</v>
      </c>
      <c r="J27" s="4">
        <v>0.34</v>
      </c>
      <c r="K27" s="4">
        <v>1.01</v>
      </c>
      <c r="L27" s="4">
        <v>0.23</v>
      </c>
      <c r="M27" s="4">
        <v>1.77</v>
      </c>
    </row>
    <row r="28" spans="1:13" x14ac:dyDescent="0.2">
      <c r="A28" s="1">
        <v>1993</v>
      </c>
      <c r="B28" s="4">
        <v>1.93</v>
      </c>
      <c r="C28" s="4">
        <v>0.3</v>
      </c>
      <c r="D28" s="4">
        <v>0.05</v>
      </c>
      <c r="E28" s="4">
        <v>0</v>
      </c>
      <c r="F28" s="4">
        <v>0.16</v>
      </c>
      <c r="G28" s="4">
        <v>0</v>
      </c>
      <c r="H28" s="4">
        <v>0.61</v>
      </c>
      <c r="I28" s="4">
        <v>2.74</v>
      </c>
      <c r="J28" s="4">
        <v>0.3</v>
      </c>
      <c r="K28" s="4">
        <v>0.57999999999999996</v>
      </c>
      <c r="L28" s="4">
        <v>0.45</v>
      </c>
      <c r="M28" s="4">
        <v>0.38</v>
      </c>
    </row>
    <row r="29" spans="1:13" x14ac:dyDescent="0.2">
      <c r="A29" s="1">
        <v>1994</v>
      </c>
      <c r="B29" s="4">
        <v>0.1</v>
      </c>
      <c r="C29" s="4">
        <v>0.53</v>
      </c>
      <c r="D29" s="4">
        <v>0.62</v>
      </c>
      <c r="E29" s="4">
        <v>0</v>
      </c>
      <c r="F29" s="4">
        <v>0.19</v>
      </c>
      <c r="G29" s="4">
        <v>0.26</v>
      </c>
      <c r="H29" s="4">
        <v>0.98</v>
      </c>
      <c r="I29" s="4">
        <v>0.69</v>
      </c>
      <c r="J29" s="4">
        <v>0.9</v>
      </c>
      <c r="K29" s="4">
        <v>0.38</v>
      </c>
      <c r="L29" s="4">
        <v>2.42</v>
      </c>
      <c r="M29" s="4">
        <v>3.53</v>
      </c>
    </row>
    <row r="30" spans="1:13" x14ac:dyDescent="0.2">
      <c r="A30" s="1">
        <v>1995</v>
      </c>
      <c r="B30" s="4">
        <v>0.64</v>
      </c>
      <c r="C30" s="4">
        <v>0.74</v>
      </c>
      <c r="D30" s="4">
        <v>0.59</v>
      </c>
      <c r="E30" s="4">
        <v>7.0000000000000007E-2</v>
      </c>
      <c r="F30" s="4">
        <v>0.06</v>
      </c>
      <c r="G30" s="4">
        <v>0</v>
      </c>
      <c r="H30" s="4">
        <v>1.0900000000000001</v>
      </c>
      <c r="I30" s="4">
        <v>2.54</v>
      </c>
      <c r="J30" s="4">
        <v>1.1499999999999999</v>
      </c>
      <c r="K30" s="4">
        <v>0.06</v>
      </c>
      <c r="L30" s="4">
        <v>0.28999999999999998</v>
      </c>
      <c r="M30" s="4">
        <v>0.22</v>
      </c>
    </row>
    <row r="31" spans="1:13" x14ac:dyDescent="0.2">
      <c r="A31" s="1">
        <v>1996</v>
      </c>
      <c r="B31" s="4">
        <v>0.05</v>
      </c>
      <c r="C31" s="4">
        <v>0.17</v>
      </c>
      <c r="D31" s="4">
        <v>0.02</v>
      </c>
      <c r="E31" s="4">
        <v>0.28000000000000003</v>
      </c>
      <c r="F31" s="4">
        <v>0</v>
      </c>
      <c r="G31" s="4">
        <v>2.37</v>
      </c>
      <c r="H31" s="4">
        <v>2.71</v>
      </c>
      <c r="I31" s="4">
        <v>2.61</v>
      </c>
      <c r="J31" s="4">
        <v>3.01</v>
      </c>
      <c r="K31" s="4">
        <v>1.3</v>
      </c>
      <c r="L31" s="4">
        <v>0.15</v>
      </c>
      <c r="M31" s="4">
        <v>0</v>
      </c>
    </row>
    <row r="32" spans="1:13" x14ac:dyDescent="0.2">
      <c r="A32" s="1">
        <v>1997</v>
      </c>
      <c r="B32" s="4">
        <v>1.76</v>
      </c>
      <c r="C32" s="4">
        <v>1.0900000000000001</v>
      </c>
      <c r="D32" s="4">
        <v>1.26</v>
      </c>
      <c r="E32" s="4">
        <v>0.09</v>
      </c>
      <c r="F32" s="4">
        <v>0.92</v>
      </c>
      <c r="G32" s="4">
        <v>0.1</v>
      </c>
      <c r="H32" s="4">
        <v>1.66</v>
      </c>
      <c r="I32" s="4">
        <v>1.95</v>
      </c>
      <c r="J32" s="4">
        <v>0.66</v>
      </c>
      <c r="K32" s="4">
        <v>0.47</v>
      </c>
      <c r="L32" s="4">
        <v>0.96</v>
      </c>
      <c r="M32" s="4">
        <v>1.88</v>
      </c>
    </row>
    <row r="33" spans="1:13" x14ac:dyDescent="0.2">
      <c r="A33" s="1">
        <v>1998</v>
      </c>
      <c r="B33" s="4">
        <v>0.14000000000000001</v>
      </c>
      <c r="C33" s="4">
        <v>0.78</v>
      </c>
      <c r="D33" s="4">
        <v>0.9</v>
      </c>
      <c r="E33" s="4">
        <v>0.03</v>
      </c>
      <c r="F33" s="4">
        <v>0</v>
      </c>
      <c r="G33" s="4">
        <v>0.04</v>
      </c>
      <c r="H33" s="4">
        <v>3.96</v>
      </c>
      <c r="I33" s="4">
        <v>0.28999999999999998</v>
      </c>
      <c r="J33" s="4">
        <v>0</v>
      </c>
      <c r="K33" s="4">
        <v>1.62</v>
      </c>
      <c r="L33" s="4">
        <v>0.71</v>
      </c>
      <c r="M33" s="4">
        <v>0.59</v>
      </c>
    </row>
    <row r="34" spans="1:13" x14ac:dyDescent="0.2">
      <c r="A34" s="1">
        <v>1999</v>
      </c>
      <c r="B34" s="4">
        <v>0</v>
      </c>
      <c r="C34" s="4">
        <v>0</v>
      </c>
      <c r="D34" s="4">
        <v>0.11</v>
      </c>
      <c r="E34" s="4">
        <v>0.2</v>
      </c>
      <c r="F34" s="4">
        <v>0</v>
      </c>
      <c r="G34" s="4">
        <v>0.72</v>
      </c>
      <c r="H34" s="4">
        <v>4.51</v>
      </c>
      <c r="I34" s="4">
        <v>2.34</v>
      </c>
      <c r="J34" s="4">
        <v>1.06</v>
      </c>
      <c r="K34" s="4">
        <v>0</v>
      </c>
      <c r="L34" s="4">
        <v>0</v>
      </c>
      <c r="M34" s="4">
        <v>0.24</v>
      </c>
    </row>
    <row r="35" spans="1:13" x14ac:dyDescent="0.2">
      <c r="A35" s="1">
        <v>2000</v>
      </c>
      <c r="B35" s="4">
        <v>0.04</v>
      </c>
      <c r="C35" s="4">
        <v>0.03</v>
      </c>
      <c r="D35" s="4">
        <v>0.32</v>
      </c>
      <c r="E35" s="4">
        <v>0</v>
      </c>
      <c r="F35" s="4">
        <v>0</v>
      </c>
      <c r="G35" s="4">
        <v>2.4700000000000002</v>
      </c>
      <c r="H35" s="4">
        <v>1.47</v>
      </c>
      <c r="I35" s="4">
        <v>4.05</v>
      </c>
      <c r="J35" s="4">
        <v>0</v>
      </c>
      <c r="K35" s="4">
        <v>3.08</v>
      </c>
      <c r="L35" s="4">
        <v>1.46</v>
      </c>
      <c r="M35" s="4">
        <v>0.08</v>
      </c>
    </row>
    <row r="36" spans="1:13" x14ac:dyDescent="0.2">
      <c r="A36" s="1">
        <v>2001</v>
      </c>
      <c r="B36" s="4">
        <v>1.26</v>
      </c>
      <c r="C36" s="4">
        <v>0.16</v>
      </c>
      <c r="D36" s="4">
        <v>0.1</v>
      </c>
      <c r="E36" s="4">
        <v>0.3</v>
      </c>
      <c r="F36" s="4">
        <v>0.3</v>
      </c>
      <c r="G36" s="4">
        <v>0.2</v>
      </c>
      <c r="H36" s="4">
        <v>2.73</v>
      </c>
      <c r="I36" s="4">
        <v>2.96</v>
      </c>
      <c r="J36" s="4">
        <v>0.55000000000000004</v>
      </c>
      <c r="K36" s="4">
        <v>0.08</v>
      </c>
      <c r="L36" s="4">
        <v>0.08</v>
      </c>
      <c r="M36" s="4">
        <v>0.1</v>
      </c>
    </row>
    <row r="37" spans="1:13" x14ac:dyDescent="0.2">
      <c r="A37" s="1">
        <v>2002</v>
      </c>
      <c r="B37" s="4">
        <v>0</v>
      </c>
      <c r="C37" s="4">
        <v>1.28</v>
      </c>
      <c r="D37" s="4">
        <v>0</v>
      </c>
      <c r="E37" s="4">
        <v>0</v>
      </c>
      <c r="F37" s="4">
        <v>0.01</v>
      </c>
      <c r="G37" s="4">
        <v>0</v>
      </c>
      <c r="H37" s="4">
        <v>0.54</v>
      </c>
      <c r="I37" s="4">
        <v>1.89</v>
      </c>
      <c r="J37" s="4">
        <v>0.85</v>
      </c>
      <c r="K37" s="4">
        <v>2.14</v>
      </c>
      <c r="L37" s="4">
        <v>0.18</v>
      </c>
      <c r="M37" s="4">
        <v>1.26</v>
      </c>
    </row>
    <row r="38" spans="1:13" x14ac:dyDescent="0.2">
      <c r="A38" s="1">
        <v>2003</v>
      </c>
      <c r="B38" s="4">
        <v>0.02</v>
      </c>
      <c r="C38" s="4">
        <v>1.29</v>
      </c>
      <c r="D38" s="4">
        <v>0.15</v>
      </c>
      <c r="E38" s="4">
        <v>0</v>
      </c>
      <c r="F38" s="4">
        <v>0</v>
      </c>
      <c r="G38" s="4">
        <v>0</v>
      </c>
      <c r="H38" s="4">
        <v>0.39</v>
      </c>
      <c r="I38" s="4">
        <v>0.27</v>
      </c>
      <c r="J38" s="4">
        <v>0.22</v>
      </c>
      <c r="K38" s="4">
        <v>0.22</v>
      </c>
      <c r="L38" s="4">
        <v>0.87</v>
      </c>
      <c r="M38" s="4">
        <v>0.63</v>
      </c>
    </row>
    <row r="39" spans="1:13" x14ac:dyDescent="0.2">
      <c r="A39" s="1">
        <v>2004</v>
      </c>
      <c r="B39" s="4">
        <v>0.46</v>
      </c>
      <c r="C39" s="4">
        <v>0.95</v>
      </c>
      <c r="D39" s="4">
        <v>1.33</v>
      </c>
      <c r="E39" s="4">
        <v>1.66</v>
      </c>
      <c r="F39" s="4">
        <v>7.0000000000000007E-2</v>
      </c>
      <c r="G39" s="4">
        <v>0.09</v>
      </c>
      <c r="H39" s="4">
        <v>2.02</v>
      </c>
      <c r="I39" s="4">
        <v>2.27</v>
      </c>
      <c r="J39" s="4">
        <v>1.39</v>
      </c>
      <c r="K39" s="4">
        <v>1.1200000000000001</v>
      </c>
      <c r="L39" s="4">
        <v>1.4</v>
      </c>
      <c r="M39" s="4">
        <v>0.79</v>
      </c>
    </row>
    <row r="40" spans="1:13" x14ac:dyDescent="0.2">
      <c r="A40" s="1">
        <v>2005</v>
      </c>
      <c r="B40" s="4">
        <v>2.5099999999999998</v>
      </c>
      <c r="C40" s="4">
        <v>1.65</v>
      </c>
      <c r="D40" s="4">
        <v>0.48</v>
      </c>
      <c r="E40" s="4">
        <v>0.11</v>
      </c>
      <c r="F40" s="4">
        <v>0.5</v>
      </c>
      <c r="G40" s="4">
        <v>0</v>
      </c>
      <c r="H40" s="4">
        <v>0.31</v>
      </c>
      <c r="I40" s="4">
        <v>2.04</v>
      </c>
      <c r="J40" s="4">
        <v>1.3</v>
      </c>
      <c r="K40" s="4">
        <v>1.9</v>
      </c>
      <c r="L40" s="4">
        <v>0</v>
      </c>
      <c r="M40" s="4">
        <v>0.03</v>
      </c>
    </row>
    <row r="41" spans="1:13" x14ac:dyDescent="0.2">
      <c r="A41" s="1">
        <v>2006</v>
      </c>
      <c r="B41" s="4">
        <v>0.2</v>
      </c>
      <c r="C41" s="4">
        <v>0.03</v>
      </c>
      <c r="D41" s="4">
        <v>0.15</v>
      </c>
      <c r="E41" s="4">
        <v>0</v>
      </c>
      <c r="F41" s="4">
        <v>0</v>
      </c>
      <c r="G41" s="4">
        <v>0.35</v>
      </c>
      <c r="H41" s="4">
        <v>3.15</v>
      </c>
      <c r="I41" s="4">
        <v>3.45</v>
      </c>
      <c r="J41" s="4">
        <v>2.2999999999999998</v>
      </c>
      <c r="K41" s="4">
        <v>2.2200000000000002</v>
      </c>
      <c r="L41" s="4">
        <v>0</v>
      </c>
      <c r="M41" s="4">
        <v>0.2</v>
      </c>
    </row>
    <row r="42" spans="1:13" x14ac:dyDescent="0.2">
      <c r="A42" s="1">
        <v>2007</v>
      </c>
      <c r="B42" s="4">
        <v>1.49</v>
      </c>
      <c r="C42" s="4">
        <v>0.12</v>
      </c>
      <c r="D42" s="4">
        <v>0.36</v>
      </c>
      <c r="E42" s="4">
        <v>0.66</v>
      </c>
      <c r="F42" s="4">
        <v>0.05</v>
      </c>
      <c r="G42" s="4">
        <v>0.51</v>
      </c>
      <c r="H42" s="4">
        <v>2.67</v>
      </c>
      <c r="I42" s="4">
        <v>2.4300000000000002</v>
      </c>
      <c r="J42" s="4">
        <v>0.83</v>
      </c>
      <c r="K42" s="4">
        <v>0</v>
      </c>
      <c r="L42" s="4">
        <v>0.42</v>
      </c>
      <c r="M42" s="4">
        <v>0.8</v>
      </c>
    </row>
    <row r="43" spans="1:13" x14ac:dyDescent="0.2">
      <c r="A43" s="1">
        <v>2008</v>
      </c>
      <c r="B43" s="4">
        <v>0.1</v>
      </c>
      <c r="C43" s="4">
        <v>0.1</v>
      </c>
      <c r="D43" s="4">
        <v>0</v>
      </c>
      <c r="E43" s="4">
        <v>0</v>
      </c>
      <c r="F43" s="4">
        <v>0.16</v>
      </c>
      <c r="G43" s="4">
        <v>0.16</v>
      </c>
      <c r="H43" s="4">
        <v>5.85</v>
      </c>
      <c r="I43" s="4">
        <v>2.92</v>
      </c>
      <c r="J43" s="4">
        <v>0.48</v>
      </c>
      <c r="K43" s="4">
        <v>0</v>
      </c>
      <c r="L43" s="4">
        <v>0.46</v>
      </c>
      <c r="M43" s="4">
        <v>0.48</v>
      </c>
    </row>
    <row r="44" spans="1:13" x14ac:dyDescent="0.2">
      <c r="A44" s="1">
        <v>2009</v>
      </c>
      <c r="B44" s="4">
        <v>0.4</v>
      </c>
      <c r="C44" s="4">
        <v>0.08</v>
      </c>
      <c r="D44" s="4">
        <v>0.48</v>
      </c>
      <c r="E44" s="4">
        <v>0</v>
      </c>
      <c r="F44" s="4">
        <v>0.62</v>
      </c>
      <c r="G44" s="4">
        <v>0.94</v>
      </c>
      <c r="H44" s="4">
        <v>0.32</v>
      </c>
      <c r="I44" s="4">
        <v>1.03</v>
      </c>
      <c r="J44" s="4">
        <v>0.7</v>
      </c>
      <c r="K44" s="4">
        <v>0.95</v>
      </c>
      <c r="L44" s="4">
        <v>1.1000000000000001</v>
      </c>
      <c r="M44" s="4">
        <v>0.92</v>
      </c>
    </row>
    <row r="45" spans="1:13" x14ac:dyDescent="0.2">
      <c r="A45" s="1">
        <v>2010</v>
      </c>
      <c r="B45" s="4">
        <v>2.48</v>
      </c>
      <c r="C45" s="4">
        <v>1.43</v>
      </c>
      <c r="D45" s="4">
        <v>0.06</v>
      </c>
      <c r="E45" s="4">
        <v>0.19</v>
      </c>
      <c r="F45" s="4">
        <v>0.1</v>
      </c>
      <c r="G45" s="4">
        <v>0.12</v>
      </c>
      <c r="H45" s="4">
        <v>3.09</v>
      </c>
      <c r="I45" s="4">
        <v>3.01</v>
      </c>
      <c r="J45" s="4">
        <v>0.3</v>
      </c>
      <c r="K45" s="4">
        <v>0.1</v>
      </c>
      <c r="L45" s="4">
        <v>0</v>
      </c>
      <c r="M45" s="4">
        <v>7.0000000000000007E-2</v>
      </c>
    </row>
    <row r="46" spans="1:13" x14ac:dyDescent="0.2">
      <c r="A46" s="1">
        <v>2011</v>
      </c>
      <c r="B46" s="4">
        <v>0.06</v>
      </c>
      <c r="C46" s="4">
        <v>0</v>
      </c>
      <c r="D46" s="4">
        <v>0</v>
      </c>
      <c r="E46" s="4">
        <v>0</v>
      </c>
      <c r="F46" s="4">
        <v>0</v>
      </c>
      <c r="G46" s="4">
        <v>0.01</v>
      </c>
      <c r="H46" s="4">
        <v>3.03</v>
      </c>
      <c r="I46" s="4">
        <v>1.92</v>
      </c>
      <c r="J46" s="4">
        <v>1.29</v>
      </c>
      <c r="K46" s="4">
        <v>0.2</v>
      </c>
      <c r="L46" s="4">
        <v>1.03</v>
      </c>
      <c r="M46" s="4">
        <v>3.42</v>
      </c>
    </row>
    <row r="47" spans="1:13" x14ac:dyDescent="0.2">
      <c r="A47" s="1">
        <v>2012</v>
      </c>
      <c r="B47" s="4">
        <v>0.12</v>
      </c>
      <c r="C47" s="4">
        <v>1.4</v>
      </c>
      <c r="D47" s="4">
        <v>0.18</v>
      </c>
      <c r="E47" s="4">
        <v>0</v>
      </c>
      <c r="F47" s="4">
        <v>7.0000000000000007E-2</v>
      </c>
      <c r="G47" s="4">
        <v>0</v>
      </c>
      <c r="H47" s="4">
        <v>1.65</v>
      </c>
      <c r="I47" s="4">
        <v>1.01</v>
      </c>
      <c r="J47" s="4">
        <v>1.2</v>
      </c>
      <c r="K47" s="4">
        <v>0</v>
      </c>
      <c r="L47" s="4">
        <v>0.13</v>
      </c>
      <c r="M47" s="4">
        <v>0.33</v>
      </c>
    </row>
    <row r="48" spans="1:13" x14ac:dyDescent="0.2">
      <c r="A48" s="1">
        <v>2013</v>
      </c>
      <c r="B48" s="4">
        <v>1.05</v>
      </c>
      <c r="C48" s="4">
        <v>0.2</v>
      </c>
      <c r="D48" s="4">
        <v>0</v>
      </c>
      <c r="E48" s="4">
        <v>0</v>
      </c>
      <c r="F48" s="4">
        <v>0</v>
      </c>
      <c r="G48" s="4">
        <v>0.55000000000000004</v>
      </c>
      <c r="H48" s="4">
        <v>2.0099999999999998</v>
      </c>
      <c r="I48" s="4">
        <v>1.1100000000000001</v>
      </c>
      <c r="J48" s="4">
        <v>0.09</v>
      </c>
      <c r="K48" s="4">
        <v>0</v>
      </c>
      <c r="L48" s="4">
        <v>0.24</v>
      </c>
      <c r="M48" s="4">
        <v>0.6</v>
      </c>
    </row>
    <row r="49" spans="1:13" x14ac:dyDescent="0.2">
      <c r="A49" s="1">
        <v>2014</v>
      </c>
      <c r="B49" s="4">
        <v>0</v>
      </c>
      <c r="C49" s="4">
        <v>0</v>
      </c>
      <c r="D49" s="4">
        <v>0.82</v>
      </c>
      <c r="E49" s="4">
        <v>0.16</v>
      </c>
      <c r="F49" s="4">
        <v>0</v>
      </c>
      <c r="G49" s="4">
        <v>0</v>
      </c>
      <c r="H49" s="4">
        <v>2.75</v>
      </c>
      <c r="I49" s="4">
        <v>2.54</v>
      </c>
      <c r="J49" s="4">
        <v>3.02</v>
      </c>
      <c r="K49" s="4">
        <v>0.78</v>
      </c>
      <c r="L49" s="4">
        <v>0.24</v>
      </c>
      <c r="M49" s="4">
        <v>0.48</v>
      </c>
    </row>
    <row r="50" spans="1:13" x14ac:dyDescent="0.2">
      <c r="A50" s="1">
        <v>2015</v>
      </c>
      <c r="B50" s="4">
        <v>1.08</v>
      </c>
      <c r="C50" s="4">
        <v>0.2</v>
      </c>
      <c r="D50" s="4">
        <v>0.9</v>
      </c>
      <c r="E50" s="4">
        <v>0.4</v>
      </c>
      <c r="F50" s="4">
        <v>0</v>
      </c>
      <c r="G50" s="4">
        <v>1.81</v>
      </c>
      <c r="H50" s="4">
        <v>3.21</v>
      </c>
      <c r="I50" s="4">
        <v>3.55</v>
      </c>
      <c r="J50" s="4">
        <v>0.82</v>
      </c>
      <c r="K50" s="4">
        <v>1.1200000000000001</v>
      </c>
      <c r="L50" s="4">
        <v>0.31</v>
      </c>
      <c r="M50" s="4">
        <v>0.7</v>
      </c>
    </row>
    <row r="51" spans="1:13" x14ac:dyDescent="0.2">
      <c r="A51" s="1">
        <v>2016</v>
      </c>
      <c r="B51" s="4">
        <v>0.76</v>
      </c>
      <c r="C51" s="4">
        <v>0.28999999999999998</v>
      </c>
      <c r="D51" s="4">
        <v>0</v>
      </c>
      <c r="E51" s="4">
        <v>0.34</v>
      </c>
      <c r="F51" s="4">
        <v>0.05</v>
      </c>
      <c r="G51" s="4">
        <v>1.49</v>
      </c>
      <c r="H51" s="4">
        <v>1.32</v>
      </c>
      <c r="I51" s="4">
        <v>2.64</v>
      </c>
      <c r="J51" s="4">
        <v>1.06</v>
      </c>
      <c r="K51" s="4">
        <v>0.01</v>
      </c>
      <c r="L51" s="4">
        <v>0.37</v>
      </c>
      <c r="M51" s="4">
        <v>2.16</v>
      </c>
    </row>
    <row r="52" spans="1:13" x14ac:dyDescent="0.2">
      <c r="A52" s="1">
        <v>2017</v>
      </c>
      <c r="B52" s="4">
        <v>2.2599999999999998</v>
      </c>
      <c r="C52" s="4">
        <v>0.38</v>
      </c>
      <c r="D52" s="4">
        <v>0.01</v>
      </c>
      <c r="E52" s="4">
        <v>0</v>
      </c>
      <c r="F52" s="4">
        <v>0.23</v>
      </c>
      <c r="G52" s="4">
        <v>1.05</v>
      </c>
      <c r="H52" s="4">
        <v>2.38</v>
      </c>
      <c r="I52" s="4">
        <v>1.05</v>
      </c>
      <c r="J52" s="4">
        <v>0.01</v>
      </c>
      <c r="K52" s="4">
        <v>3.6</v>
      </c>
      <c r="L52" s="4">
        <v>0.18</v>
      </c>
      <c r="M52" s="4">
        <v>0.87</v>
      </c>
    </row>
    <row r="53" spans="1:13" x14ac:dyDescent="0.2">
      <c r="A53" s="1">
        <v>2018</v>
      </c>
      <c r="B53" s="4">
        <v>0.11</v>
      </c>
      <c r="C53" s="4">
        <v>1.1499999999999999</v>
      </c>
      <c r="D53" s="4">
        <v>0.02</v>
      </c>
      <c r="E53" s="4">
        <v>0</v>
      </c>
      <c r="F53" s="4">
        <v>0</v>
      </c>
      <c r="G53" s="4">
        <v>1.03</v>
      </c>
      <c r="H53" s="4">
        <v>2.63</v>
      </c>
      <c r="I53" s="4">
        <v>0.41</v>
      </c>
      <c r="J53" s="4">
        <v>0.48</v>
      </c>
      <c r="K53" s="4">
        <v>2.2799999999999998</v>
      </c>
      <c r="L53" s="4">
        <v>0.25</v>
      </c>
      <c r="M53" s="4">
        <v>1.06</v>
      </c>
    </row>
    <row r="54" spans="1:13" x14ac:dyDescent="0.2">
      <c r="A54" s="1">
        <v>2019</v>
      </c>
      <c r="B54" s="4">
        <v>0.2</v>
      </c>
      <c r="C54" s="4">
        <v>0.26</v>
      </c>
      <c r="D54" s="4">
        <v>0.43</v>
      </c>
      <c r="E54" s="4">
        <v>0.3</v>
      </c>
      <c r="F54" s="4">
        <v>0.08</v>
      </c>
      <c r="G54" s="4">
        <v>0.26</v>
      </c>
      <c r="H54" s="4">
        <v>0.69</v>
      </c>
      <c r="I54" s="4">
        <v>1.21</v>
      </c>
      <c r="J54" s="4">
        <v>1.91</v>
      </c>
      <c r="K54" s="4">
        <v>0.73</v>
      </c>
      <c r="L54" s="4">
        <v>4.0599999999999996</v>
      </c>
      <c r="M54" s="4">
        <v>1.4</v>
      </c>
    </row>
    <row r="55" spans="1:13" x14ac:dyDescent="0.2">
      <c r="A55" s="1">
        <v>2020</v>
      </c>
      <c r="B55" s="4">
        <v>0.36</v>
      </c>
      <c r="C55" s="4">
        <v>0.73</v>
      </c>
      <c r="D55" s="4">
        <v>1.87</v>
      </c>
      <c r="E55" s="4">
        <v>0</v>
      </c>
      <c r="F55" s="4">
        <v>0</v>
      </c>
      <c r="G55" s="4">
        <v>0</v>
      </c>
      <c r="H55" s="4">
        <v>2.25</v>
      </c>
      <c r="I55" s="4">
        <v>0.46</v>
      </c>
      <c r="J55" s="4">
        <v>0.38</v>
      </c>
      <c r="K55" s="4">
        <v>0</v>
      </c>
      <c r="L55" s="4">
        <v>0</v>
      </c>
      <c r="M55" s="4">
        <v>0.52</v>
      </c>
    </row>
    <row r="56" spans="1:13" x14ac:dyDescent="0.2">
      <c r="A56" s="1">
        <v>2021</v>
      </c>
      <c r="B56" s="4">
        <v>0.78</v>
      </c>
      <c r="C56" s="4">
        <v>0</v>
      </c>
      <c r="D56" s="4">
        <v>0.16</v>
      </c>
      <c r="E56" s="4">
        <v>0.81</v>
      </c>
      <c r="F56" s="4">
        <v>0</v>
      </c>
      <c r="G56" s="4">
        <v>0.02</v>
      </c>
      <c r="H56" s="4">
        <v>3.3899999999999997</v>
      </c>
      <c r="I56" s="4">
        <v>3.7700000000000005</v>
      </c>
      <c r="J56" s="4">
        <v>1.73</v>
      </c>
      <c r="K56" s="4">
        <v>1.2600000000000002</v>
      </c>
      <c r="L56" s="4">
        <v>0.16999999999999998</v>
      </c>
      <c r="M56" s="4">
        <v>0.79</v>
      </c>
    </row>
    <row r="57" spans="1:13" x14ac:dyDescent="0.2">
      <c r="A57" s="1">
        <v>2022</v>
      </c>
      <c r="B57" s="4">
        <v>0.45000000000000007</v>
      </c>
      <c r="C57" s="4">
        <v>0</v>
      </c>
      <c r="D57" s="4">
        <v>0.15</v>
      </c>
      <c r="E57" s="4">
        <v>0</v>
      </c>
      <c r="F57" s="4">
        <v>0</v>
      </c>
      <c r="G57" s="4">
        <v>1.4900000000000002</v>
      </c>
      <c r="H57" s="4">
        <v>3.4400000000000004</v>
      </c>
      <c r="I57" s="4">
        <v>3.32</v>
      </c>
      <c r="J57" s="4">
        <v>1.73</v>
      </c>
      <c r="K57" s="4">
        <v>1.1499999999999999</v>
      </c>
      <c r="L57" s="4">
        <v>0.21</v>
      </c>
      <c r="M57" s="4">
        <v>1.5499999999999998</v>
      </c>
    </row>
    <row r="58" spans="1:13" x14ac:dyDescent="0.2">
      <c r="A58" s="1">
        <v>2023</v>
      </c>
      <c r="B58" s="4">
        <v>0.88</v>
      </c>
      <c r="C58" s="4">
        <v>0.8</v>
      </c>
      <c r="D58" s="4">
        <v>0.32</v>
      </c>
      <c r="E58" s="4">
        <v>0.02</v>
      </c>
      <c r="F58" s="4">
        <v>0.62</v>
      </c>
      <c r="G58" s="4">
        <v>0.05</v>
      </c>
      <c r="H58" s="4">
        <v>0.39</v>
      </c>
      <c r="I58" s="4">
        <v>0.7</v>
      </c>
      <c r="J58" s="4">
        <v>1.21</v>
      </c>
      <c r="K58" s="4">
        <v>0.61</v>
      </c>
      <c r="L58" s="4">
        <v>0.04</v>
      </c>
      <c r="M58" s="4">
        <v>0.85</v>
      </c>
    </row>
    <row r="59" spans="1:13" x14ac:dyDescent="0.2">
      <c r="A59" s="1">
        <v>2024</v>
      </c>
      <c r="B59" s="1">
        <v>1.23</v>
      </c>
      <c r="C59" s="1">
        <v>1.34</v>
      </c>
      <c r="D59" s="1">
        <v>0.87</v>
      </c>
      <c r="E59" s="1">
        <v>0.22</v>
      </c>
      <c r="F59" s="1">
        <v>0</v>
      </c>
      <c r="G59" s="1">
        <v>0.77</v>
      </c>
      <c r="H59" s="1">
        <v>1.1200000000000001</v>
      </c>
      <c r="I59" s="1">
        <v>1.23</v>
      </c>
      <c r="J59" s="1">
        <v>0.21</v>
      </c>
      <c r="K59" s="1">
        <v>0</v>
      </c>
      <c r="L59" s="1">
        <v>0.33</v>
      </c>
      <c r="M59" s="1">
        <v>0</v>
      </c>
    </row>
    <row r="60" spans="1:13" x14ac:dyDescent="0.2">
      <c r="A60" s="2" t="s">
        <v>10</v>
      </c>
      <c r="B60" s="2"/>
      <c r="C60" s="2" t="s">
        <v>2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5" t="s">
        <v>123</v>
      </c>
      <c r="C61" s="5" t="s">
        <v>124</v>
      </c>
      <c r="D61" s="5" t="s">
        <v>125</v>
      </c>
      <c r="E61" s="5" t="s">
        <v>126</v>
      </c>
      <c r="F61" s="5" t="s">
        <v>127</v>
      </c>
      <c r="G61" s="5" t="s">
        <v>128</v>
      </c>
      <c r="H61" s="5" t="s">
        <v>129</v>
      </c>
      <c r="I61" s="5" t="s">
        <v>130</v>
      </c>
      <c r="J61" s="5" t="s">
        <v>131</v>
      </c>
      <c r="K61" s="5" t="s">
        <v>132</v>
      </c>
      <c r="L61" s="5" t="s">
        <v>133</v>
      </c>
      <c r="M61" s="5" t="s">
        <v>134</v>
      </c>
    </row>
    <row r="62" spans="1:13" x14ac:dyDescent="0.2">
      <c r="A62" s="1">
        <v>1968</v>
      </c>
      <c r="B62" s="9">
        <v>44.2</v>
      </c>
      <c r="C62" s="9">
        <v>51.1</v>
      </c>
      <c r="D62" s="9">
        <v>52.8</v>
      </c>
      <c r="E62" s="9">
        <v>57.2</v>
      </c>
      <c r="F62" s="9">
        <v>65.5</v>
      </c>
      <c r="G62" s="9">
        <v>76.2</v>
      </c>
      <c r="H62" s="9">
        <v>78.3</v>
      </c>
      <c r="I62" s="9">
        <v>74.099999999999994</v>
      </c>
      <c r="J62" s="9">
        <v>70.8</v>
      </c>
      <c r="K62" s="9">
        <v>62.4</v>
      </c>
      <c r="L62" s="9">
        <v>50.6</v>
      </c>
      <c r="M62" s="9">
        <v>44.1</v>
      </c>
    </row>
    <row r="63" spans="1:13" x14ac:dyDescent="0.2">
      <c r="A63" s="1">
        <v>1969</v>
      </c>
      <c r="B63" s="9">
        <v>47.9</v>
      </c>
      <c r="C63" s="9">
        <v>47.1</v>
      </c>
      <c r="D63" s="9">
        <v>47.5</v>
      </c>
      <c r="E63" s="9">
        <v>61</v>
      </c>
      <c r="F63" s="9">
        <v>67.400000000000006</v>
      </c>
      <c r="G63" s="9">
        <v>74.8</v>
      </c>
      <c r="H63" s="9">
        <v>80.599999999999994</v>
      </c>
      <c r="I63" s="9">
        <v>80.900000000000006</v>
      </c>
      <c r="J63" s="9">
        <v>72.8</v>
      </c>
      <c r="K63" s="9">
        <v>62.6</v>
      </c>
      <c r="L63" s="9">
        <v>51.7</v>
      </c>
      <c r="M63" s="9">
        <v>42.5</v>
      </c>
    </row>
    <row r="64" spans="1:13" x14ac:dyDescent="0.2">
      <c r="A64" s="1">
        <v>1970</v>
      </c>
      <c r="B64" s="9">
        <v>42.5</v>
      </c>
      <c r="C64" s="9">
        <v>49.5</v>
      </c>
      <c r="D64" s="9">
        <v>51.1</v>
      </c>
      <c r="E64" s="9">
        <v>57</v>
      </c>
      <c r="F64" s="9">
        <v>68.8</v>
      </c>
      <c r="G64" s="9">
        <v>77.7</v>
      </c>
      <c r="H64" s="9">
        <v>80.900000000000006</v>
      </c>
      <c r="I64" s="9">
        <v>77.7</v>
      </c>
      <c r="J64" s="9">
        <v>71.599999999999994</v>
      </c>
      <c r="K64" s="9">
        <v>58.3</v>
      </c>
      <c r="L64" s="9">
        <v>51.5</v>
      </c>
      <c r="M64" s="9">
        <v>42.5</v>
      </c>
    </row>
    <row r="65" spans="1:13" x14ac:dyDescent="0.2">
      <c r="A65" s="1">
        <v>1971</v>
      </c>
      <c r="B65" s="9">
        <v>43.8</v>
      </c>
      <c r="C65" s="9">
        <v>46.9</v>
      </c>
      <c r="D65" s="9">
        <v>54</v>
      </c>
      <c r="E65" s="9">
        <v>58.5</v>
      </c>
      <c r="F65" s="9">
        <v>67.099999999999994</v>
      </c>
      <c r="G65" s="9">
        <v>75.900000000000006</v>
      </c>
      <c r="H65" s="9">
        <v>81.900000000000006</v>
      </c>
      <c r="I65" s="9">
        <v>76.5</v>
      </c>
      <c r="J65" s="9">
        <v>72.8</v>
      </c>
      <c r="K65" s="9">
        <v>59.2</v>
      </c>
      <c r="L65" s="9">
        <v>51.1</v>
      </c>
      <c r="M65" s="9">
        <v>43.9</v>
      </c>
    </row>
    <row r="66" spans="1:13" x14ac:dyDescent="0.2">
      <c r="A66" s="1">
        <v>1972</v>
      </c>
      <c r="B66" s="9">
        <v>43.8</v>
      </c>
      <c r="C66" s="9">
        <v>46.5</v>
      </c>
      <c r="D66" s="9">
        <v>58.1</v>
      </c>
      <c r="E66" s="9">
        <v>60.3</v>
      </c>
      <c r="F66" s="9">
        <v>65.7</v>
      </c>
      <c r="G66" s="9">
        <v>75.400000000000006</v>
      </c>
      <c r="H66" s="9">
        <v>81.099999999999994</v>
      </c>
      <c r="I66" s="9">
        <v>77.400000000000006</v>
      </c>
      <c r="J66" s="9">
        <v>71.7</v>
      </c>
      <c r="K66" s="9">
        <v>63.7</v>
      </c>
      <c r="L66" s="9">
        <v>47.1</v>
      </c>
      <c r="M66" s="9">
        <v>42.5</v>
      </c>
    </row>
    <row r="67" spans="1:13" x14ac:dyDescent="0.2">
      <c r="A67" s="1">
        <v>1973</v>
      </c>
      <c r="B67" s="9">
        <v>39.799999999999997</v>
      </c>
      <c r="C67" s="9">
        <v>46</v>
      </c>
      <c r="D67" s="9">
        <v>48.4</v>
      </c>
      <c r="E67" s="9">
        <v>54.4</v>
      </c>
      <c r="F67" s="9">
        <v>66.900000000000006</v>
      </c>
      <c r="G67" s="9">
        <v>76.099999999999994</v>
      </c>
      <c r="H67" s="9">
        <v>80.3</v>
      </c>
      <c r="I67" s="9">
        <v>77.099999999999994</v>
      </c>
      <c r="J67" s="9">
        <v>73.8</v>
      </c>
      <c r="K67" s="9">
        <v>61.8</v>
      </c>
      <c r="L67" s="9">
        <v>51</v>
      </c>
      <c r="M67" s="9">
        <v>43.1</v>
      </c>
    </row>
    <row r="68" spans="1:13" x14ac:dyDescent="0.2">
      <c r="A68" s="1">
        <v>1974</v>
      </c>
      <c r="B68" s="9">
        <v>43.8</v>
      </c>
      <c r="C68" s="9">
        <v>44.6</v>
      </c>
      <c r="D68" s="9">
        <v>56</v>
      </c>
      <c r="E68" s="9">
        <v>60.9</v>
      </c>
      <c r="F68" s="9">
        <v>69</v>
      </c>
      <c r="G68" s="9">
        <v>81.7</v>
      </c>
      <c r="H68" s="9">
        <v>78.400000000000006</v>
      </c>
      <c r="I68" s="9">
        <v>76</v>
      </c>
      <c r="J68" s="9">
        <v>71.099999999999994</v>
      </c>
      <c r="K68" s="9">
        <v>61.5</v>
      </c>
      <c r="L68" s="9">
        <v>50.8</v>
      </c>
      <c r="M68" s="9">
        <v>44.2</v>
      </c>
    </row>
    <row r="69" spans="1:13" x14ac:dyDescent="0.2">
      <c r="A69" s="1">
        <v>1975</v>
      </c>
      <c r="B69" s="9">
        <v>43.5</v>
      </c>
      <c r="C69" s="9">
        <v>46.5</v>
      </c>
      <c r="D69" s="9">
        <v>52</v>
      </c>
      <c r="E69" s="9">
        <v>55.3</v>
      </c>
      <c r="F69" s="9">
        <v>63.5</v>
      </c>
      <c r="G69" s="9">
        <v>74.900000000000006</v>
      </c>
      <c r="H69" s="9">
        <v>78.599999999999994</v>
      </c>
      <c r="I69" s="9">
        <v>78.8</v>
      </c>
      <c r="J69" s="9">
        <v>70.3</v>
      </c>
      <c r="K69" s="9">
        <v>62</v>
      </c>
      <c r="L69" s="9">
        <v>50.8</v>
      </c>
      <c r="M69" s="9">
        <v>44.8</v>
      </c>
    </row>
    <row r="70" spans="1:13" x14ac:dyDescent="0.2">
      <c r="A70" s="1">
        <v>1976</v>
      </c>
      <c r="B70" s="9">
        <v>42.7</v>
      </c>
      <c r="C70" s="9">
        <v>46.5</v>
      </c>
      <c r="D70" s="9">
        <v>52.2</v>
      </c>
      <c r="E70" s="9">
        <v>58.2</v>
      </c>
      <c r="F70" s="9">
        <v>66.900000000000006</v>
      </c>
      <c r="G70" s="9">
        <v>76.3</v>
      </c>
      <c r="H70" s="9">
        <v>78.3</v>
      </c>
      <c r="I70" s="9">
        <v>77.7</v>
      </c>
      <c r="J70" s="9">
        <v>70.900000000000006</v>
      </c>
      <c r="K70" s="9">
        <v>57.6</v>
      </c>
      <c r="L70" s="9">
        <v>48.1</v>
      </c>
      <c r="M70" s="9">
        <v>41.3</v>
      </c>
    </row>
    <row r="71" spans="1:13" x14ac:dyDescent="0.2">
      <c r="A71" s="1">
        <v>1977</v>
      </c>
      <c r="B71" s="9">
        <v>43.6</v>
      </c>
      <c r="C71" s="9">
        <v>47.5</v>
      </c>
      <c r="D71" s="9">
        <v>52.9</v>
      </c>
      <c r="E71" s="9">
        <v>58</v>
      </c>
      <c r="F71" s="9">
        <v>66.8</v>
      </c>
      <c r="G71" s="9">
        <v>76.599999999999994</v>
      </c>
      <c r="H71" s="9">
        <v>79</v>
      </c>
      <c r="I71" s="9">
        <v>78.2</v>
      </c>
      <c r="J71" s="9">
        <v>72.5</v>
      </c>
      <c r="K71" s="9">
        <v>62.3</v>
      </c>
      <c r="L71" s="9">
        <v>50.7</v>
      </c>
      <c r="M71" s="9">
        <v>45.6</v>
      </c>
    </row>
    <row r="72" spans="1:13" x14ac:dyDescent="0.2">
      <c r="A72" s="1">
        <v>1978</v>
      </c>
      <c r="B72" s="9">
        <v>45.3</v>
      </c>
      <c r="C72" s="9">
        <v>46</v>
      </c>
      <c r="D72" s="9">
        <v>53.8</v>
      </c>
      <c r="E72" s="9">
        <v>57.8</v>
      </c>
      <c r="F72" s="9">
        <v>67.099999999999994</v>
      </c>
      <c r="G72" s="9">
        <v>77.2</v>
      </c>
      <c r="H72" s="9">
        <v>80.2</v>
      </c>
      <c r="I72" s="9">
        <v>76.099999999999994</v>
      </c>
      <c r="J72" s="9">
        <v>70.599999999999994</v>
      </c>
      <c r="K72" s="9">
        <v>61.6</v>
      </c>
      <c r="L72" s="9">
        <v>51.9</v>
      </c>
      <c r="M72" s="9">
        <v>38.4</v>
      </c>
    </row>
    <row r="73" spans="1:13" x14ac:dyDescent="0.2">
      <c r="A73" s="1">
        <v>1979</v>
      </c>
      <c r="B73" s="9">
        <v>39.700000000000003</v>
      </c>
      <c r="C73" s="9">
        <v>45.9</v>
      </c>
      <c r="D73" s="9">
        <v>49.4</v>
      </c>
      <c r="E73" s="9">
        <v>59.1</v>
      </c>
      <c r="F73" s="9">
        <v>65.400000000000006</v>
      </c>
      <c r="G73" s="9">
        <v>74.400000000000006</v>
      </c>
      <c r="H73" s="9">
        <v>79.5</v>
      </c>
      <c r="I73" s="9">
        <v>74.400000000000006</v>
      </c>
      <c r="J73" s="9">
        <v>71.099999999999994</v>
      </c>
      <c r="K73" s="9">
        <v>64.7</v>
      </c>
      <c r="L73" s="9">
        <v>45.3</v>
      </c>
      <c r="M73" s="9">
        <v>42.3</v>
      </c>
    </row>
    <row r="74" spans="1:13" x14ac:dyDescent="0.2">
      <c r="A74" s="1">
        <v>1980</v>
      </c>
      <c r="B74" s="9">
        <v>44.8</v>
      </c>
      <c r="C74" s="9">
        <v>47.4</v>
      </c>
      <c r="D74" s="9">
        <v>50.3</v>
      </c>
      <c r="E74" s="9">
        <v>57.8</v>
      </c>
      <c r="F74" s="9">
        <v>65.400000000000006</v>
      </c>
      <c r="G74" s="9">
        <v>79.2</v>
      </c>
      <c r="H74" s="9">
        <v>81.599999999999994</v>
      </c>
      <c r="I74" s="9">
        <v>75.8</v>
      </c>
      <c r="J74" s="9">
        <v>72.099999999999994</v>
      </c>
      <c r="K74" s="9">
        <v>58</v>
      </c>
      <c r="L74" s="9">
        <v>47.8</v>
      </c>
      <c r="M74" s="9">
        <v>46.2</v>
      </c>
    </row>
    <row r="75" spans="1:13" x14ac:dyDescent="0.2">
      <c r="A75" s="1">
        <v>1981</v>
      </c>
      <c r="B75" s="9">
        <v>43.6</v>
      </c>
      <c r="C75" s="9">
        <v>48.2</v>
      </c>
      <c r="D75" s="9">
        <v>50.1</v>
      </c>
      <c r="E75" s="9">
        <v>60.6</v>
      </c>
      <c r="F75" s="9">
        <v>67</v>
      </c>
      <c r="G75" s="9">
        <v>77.900000000000006</v>
      </c>
      <c r="H75" s="9">
        <v>77.599999999999994</v>
      </c>
      <c r="I75" s="9">
        <v>75.900000000000006</v>
      </c>
      <c r="J75" s="9">
        <v>71.599999999999994</v>
      </c>
      <c r="K75" s="9">
        <v>60.8</v>
      </c>
      <c r="L75" s="9">
        <v>51.9</v>
      </c>
      <c r="M75" s="9">
        <v>45.5</v>
      </c>
    </row>
    <row r="76" spans="1:13" x14ac:dyDescent="0.2">
      <c r="A76" s="1">
        <v>1982</v>
      </c>
      <c r="B76" s="9">
        <v>44.8</v>
      </c>
      <c r="C76" s="9">
        <v>46.7</v>
      </c>
      <c r="D76" s="9">
        <v>51.8</v>
      </c>
      <c r="E76" s="9">
        <v>59.3</v>
      </c>
      <c r="F76" s="9">
        <v>65.900000000000006</v>
      </c>
      <c r="G76" s="9">
        <v>75.099999999999994</v>
      </c>
      <c r="H76" s="9">
        <v>78.5</v>
      </c>
      <c r="I76" s="9">
        <v>78.099999999999994</v>
      </c>
      <c r="J76" s="9">
        <v>73</v>
      </c>
      <c r="K76" s="9">
        <v>60.2</v>
      </c>
      <c r="L76" s="9">
        <v>49</v>
      </c>
      <c r="M76" s="9">
        <v>40.1</v>
      </c>
    </row>
    <row r="77" spans="1:13" x14ac:dyDescent="0.2">
      <c r="A77" s="1">
        <v>1983</v>
      </c>
      <c r="B77" s="9">
        <v>40.6</v>
      </c>
      <c r="C77" s="9">
        <v>46</v>
      </c>
      <c r="D77" s="9">
        <v>49.8</v>
      </c>
      <c r="E77" s="9">
        <v>52.1</v>
      </c>
      <c r="F77" s="9">
        <v>65.3</v>
      </c>
      <c r="G77" s="9">
        <v>73.7</v>
      </c>
      <c r="H77" s="9">
        <v>78.099999999999994</v>
      </c>
      <c r="I77" s="9">
        <v>77.5</v>
      </c>
      <c r="J77" s="9">
        <v>74</v>
      </c>
      <c r="K77" s="9">
        <v>61.7</v>
      </c>
      <c r="L77" s="9">
        <v>48.9</v>
      </c>
      <c r="M77" s="9">
        <v>44.1</v>
      </c>
    </row>
    <row r="78" spans="1:13" x14ac:dyDescent="0.2">
      <c r="A78" s="1">
        <v>1984</v>
      </c>
      <c r="B78" s="9">
        <v>41.7</v>
      </c>
      <c r="C78" s="9">
        <v>42.7</v>
      </c>
      <c r="D78" s="9">
        <v>51.4</v>
      </c>
      <c r="E78" s="9">
        <v>55.7</v>
      </c>
      <c r="F78" s="9">
        <v>70.7</v>
      </c>
      <c r="G78" s="9">
        <v>75.2</v>
      </c>
      <c r="H78" s="9">
        <v>77.8</v>
      </c>
      <c r="I78" s="9">
        <v>74.3</v>
      </c>
      <c r="J78" s="9">
        <v>71.400000000000006</v>
      </c>
      <c r="K78" s="9">
        <v>58.2</v>
      </c>
      <c r="L78" s="9">
        <v>48</v>
      </c>
      <c r="M78" s="9">
        <v>44.5</v>
      </c>
    </row>
    <row r="79" spans="1:13" x14ac:dyDescent="0.2">
      <c r="A79" s="1">
        <v>1985</v>
      </c>
      <c r="B79" s="9">
        <v>39.1</v>
      </c>
      <c r="C79" s="9">
        <v>42.8</v>
      </c>
      <c r="D79" s="9">
        <v>51.7</v>
      </c>
      <c r="E79" s="9">
        <v>59.5</v>
      </c>
      <c r="F79" s="9">
        <v>67.7</v>
      </c>
      <c r="G79" s="9">
        <v>76.599999999999994</v>
      </c>
      <c r="H79" s="9">
        <v>79</v>
      </c>
      <c r="I79" s="9">
        <v>76.599999999999994</v>
      </c>
      <c r="J79" s="9">
        <v>69.2</v>
      </c>
      <c r="K79" s="9">
        <v>59.3</v>
      </c>
      <c r="L79" s="9">
        <v>49.7</v>
      </c>
      <c r="M79" s="9">
        <v>41.4</v>
      </c>
    </row>
    <row r="80" spans="1:13" x14ac:dyDescent="0.2">
      <c r="A80" s="1">
        <v>1986</v>
      </c>
      <c r="B80" s="9">
        <v>43.8</v>
      </c>
      <c r="C80" s="9">
        <v>47.4</v>
      </c>
      <c r="D80" s="9">
        <v>53.4</v>
      </c>
      <c r="E80" s="9">
        <v>60.9</v>
      </c>
      <c r="F80" s="9">
        <v>67</v>
      </c>
      <c r="G80" s="9">
        <v>74.5</v>
      </c>
      <c r="H80" s="9">
        <v>75.8</v>
      </c>
      <c r="I80" s="9">
        <v>76.2</v>
      </c>
      <c r="J80" s="9">
        <v>69.3</v>
      </c>
      <c r="K80" s="9">
        <v>58.3</v>
      </c>
      <c r="L80" s="9">
        <v>46.5</v>
      </c>
      <c r="M80" s="9">
        <v>40.4</v>
      </c>
    </row>
    <row r="81" spans="1:13" x14ac:dyDescent="0.2">
      <c r="A81" s="1">
        <v>1987</v>
      </c>
      <c r="B81" s="9">
        <v>39.9</v>
      </c>
      <c r="C81" s="9">
        <v>44.3</v>
      </c>
      <c r="D81" s="9">
        <v>48.4</v>
      </c>
      <c r="E81" s="9">
        <v>58.1</v>
      </c>
      <c r="F81" s="9">
        <v>64.7</v>
      </c>
      <c r="G81" s="9">
        <v>75.3</v>
      </c>
      <c r="H81" s="9">
        <v>78</v>
      </c>
      <c r="I81" s="9">
        <v>75.3</v>
      </c>
      <c r="J81" s="9">
        <v>69.3</v>
      </c>
      <c r="K81" s="9">
        <v>64.900000000000006</v>
      </c>
      <c r="L81" s="9">
        <v>48</v>
      </c>
      <c r="M81" s="9">
        <v>39.799999999999997</v>
      </c>
    </row>
    <row r="82" spans="1:13" x14ac:dyDescent="0.2">
      <c r="A82" s="1">
        <v>1988</v>
      </c>
      <c r="B82" s="9">
        <v>41</v>
      </c>
      <c r="C82" s="9">
        <v>46.9</v>
      </c>
      <c r="D82" s="9">
        <v>49.4</v>
      </c>
      <c r="E82" s="9">
        <v>57.2</v>
      </c>
      <c r="F82" s="9">
        <v>66.099999999999994</v>
      </c>
      <c r="G82" s="9">
        <v>75.7</v>
      </c>
      <c r="H82" s="9">
        <v>78.2</v>
      </c>
      <c r="I82" s="9">
        <v>74.400000000000006</v>
      </c>
      <c r="J82" s="9">
        <v>69</v>
      </c>
      <c r="K82" s="9">
        <v>64.099999999999994</v>
      </c>
      <c r="L82" s="9">
        <v>50.1</v>
      </c>
      <c r="M82" s="9">
        <v>40.700000000000003</v>
      </c>
    </row>
    <row r="83" spans="1:13" x14ac:dyDescent="0.2">
      <c r="A83" s="1">
        <v>1989</v>
      </c>
      <c r="B83" s="9">
        <v>41.1</v>
      </c>
      <c r="C83" s="9">
        <v>49.8</v>
      </c>
      <c r="D83" s="9">
        <v>56.3</v>
      </c>
      <c r="E83" s="9">
        <v>64</v>
      </c>
      <c r="F83" s="9">
        <v>69.400000000000006</v>
      </c>
      <c r="G83" s="9">
        <v>76.5</v>
      </c>
      <c r="H83" s="9">
        <v>80.5</v>
      </c>
      <c r="I83" s="9">
        <v>77.099999999999994</v>
      </c>
      <c r="J83" s="9">
        <v>72.599999999999994</v>
      </c>
      <c r="K83" s="9">
        <v>61.7</v>
      </c>
      <c r="L83" s="9">
        <v>50.8</v>
      </c>
      <c r="M83" s="9">
        <v>39.799999999999997</v>
      </c>
    </row>
    <row r="84" spans="1:13" x14ac:dyDescent="0.2">
      <c r="A84" s="1">
        <v>1990</v>
      </c>
      <c r="B84" s="9">
        <v>41.5</v>
      </c>
      <c r="C84" s="9">
        <v>44.2</v>
      </c>
      <c r="D84" s="9">
        <v>52.8</v>
      </c>
      <c r="E84" s="9">
        <v>62.4</v>
      </c>
      <c r="F84" s="9">
        <v>67.2</v>
      </c>
      <c r="G84" s="9">
        <v>81.400000000000006</v>
      </c>
      <c r="H84" s="9">
        <v>77.900000000000006</v>
      </c>
      <c r="I84" s="9">
        <v>73.900000000000006</v>
      </c>
      <c r="J84" s="9">
        <v>72.8</v>
      </c>
      <c r="K84" s="9">
        <v>59.9</v>
      </c>
      <c r="L84" s="9">
        <v>50.2</v>
      </c>
      <c r="M84" s="9">
        <v>40.9</v>
      </c>
    </row>
    <row r="85" spans="1:13" x14ac:dyDescent="0.2">
      <c r="A85" s="1">
        <v>1991</v>
      </c>
      <c r="B85" s="9">
        <v>42</v>
      </c>
      <c r="C85" s="9">
        <v>48.1</v>
      </c>
      <c r="D85" s="9">
        <v>48.9</v>
      </c>
      <c r="E85" s="9">
        <v>57.1</v>
      </c>
      <c r="F85" s="9">
        <v>65.400000000000006</v>
      </c>
      <c r="G85" s="9">
        <v>72.8</v>
      </c>
      <c r="H85" s="9">
        <v>77.599999999999994</v>
      </c>
      <c r="I85" s="9">
        <v>75.8</v>
      </c>
      <c r="J85" s="9">
        <v>69.7</v>
      </c>
      <c r="K85" s="9">
        <v>62</v>
      </c>
      <c r="L85" s="9">
        <v>47.6</v>
      </c>
      <c r="M85" s="9">
        <v>42.5</v>
      </c>
    </row>
    <row r="86" spans="1:13" x14ac:dyDescent="0.2">
      <c r="A86" s="1">
        <v>1992</v>
      </c>
      <c r="B86" s="9">
        <v>38.6</v>
      </c>
      <c r="C86" s="9">
        <v>46.5</v>
      </c>
      <c r="D86" s="9">
        <v>51.5</v>
      </c>
      <c r="E86" s="9">
        <v>60</v>
      </c>
      <c r="F86" s="9">
        <v>65.900000000000006</v>
      </c>
      <c r="G86" s="9">
        <v>73.8</v>
      </c>
      <c r="H86" s="9">
        <v>77.5</v>
      </c>
      <c r="I86" s="9">
        <v>76.099999999999994</v>
      </c>
      <c r="J86" s="9">
        <v>73.2</v>
      </c>
      <c r="K86" s="9">
        <v>63.4</v>
      </c>
      <c r="L86" s="9">
        <v>44.8</v>
      </c>
      <c r="M86" s="9">
        <v>43.3</v>
      </c>
    </row>
    <row r="87" spans="1:13" x14ac:dyDescent="0.2">
      <c r="A87" s="1">
        <v>1993</v>
      </c>
      <c r="B87" s="9">
        <v>46.1</v>
      </c>
      <c r="C87" s="9">
        <v>46.2</v>
      </c>
      <c r="D87" s="9">
        <v>51.6</v>
      </c>
      <c r="E87" s="9">
        <v>58.7</v>
      </c>
      <c r="F87" s="9">
        <v>68.900000000000006</v>
      </c>
      <c r="G87" s="9">
        <v>76.400000000000006</v>
      </c>
      <c r="H87" s="9">
        <v>80.099999999999994</v>
      </c>
      <c r="I87" s="9">
        <v>78</v>
      </c>
      <c r="J87" s="9">
        <v>72.900000000000006</v>
      </c>
      <c r="K87" s="9">
        <v>61.1</v>
      </c>
      <c r="L87" s="9">
        <v>48.5</v>
      </c>
      <c r="M87" s="9">
        <v>43.1</v>
      </c>
    </row>
    <row r="88" spans="1:13" x14ac:dyDescent="0.2">
      <c r="A88" s="1">
        <v>1994</v>
      </c>
      <c r="B88" s="9">
        <v>41.5</v>
      </c>
      <c r="C88" s="9">
        <v>46.3</v>
      </c>
      <c r="D88" s="9">
        <v>54.1</v>
      </c>
      <c r="E88" s="9">
        <v>60</v>
      </c>
      <c r="F88" s="9">
        <v>67.900000000000006</v>
      </c>
      <c r="G88" s="9">
        <v>81.5</v>
      </c>
      <c r="H88" s="9">
        <v>81.900000000000006</v>
      </c>
      <c r="I88" s="9">
        <v>81.3</v>
      </c>
      <c r="J88" s="9">
        <v>73.900000000000006</v>
      </c>
      <c r="K88" s="9">
        <v>62.5</v>
      </c>
      <c r="L88" s="9">
        <v>50.7</v>
      </c>
      <c r="M88" s="9">
        <v>44.9</v>
      </c>
    </row>
    <row r="89" spans="1:13" x14ac:dyDescent="0.2">
      <c r="A89" s="1">
        <v>1995</v>
      </c>
      <c r="B89" s="9">
        <v>43.6</v>
      </c>
      <c r="C89" s="9">
        <v>50.9</v>
      </c>
      <c r="D89" s="9">
        <v>51.8</v>
      </c>
      <c r="E89" s="9">
        <v>55.7</v>
      </c>
      <c r="F89" s="9">
        <v>65.099999999999994</v>
      </c>
      <c r="G89" s="9">
        <v>74.7</v>
      </c>
      <c r="H89" s="9">
        <v>79.900000000000006</v>
      </c>
      <c r="I89" s="9">
        <v>80.5</v>
      </c>
      <c r="J89" s="9">
        <v>73.900000000000006</v>
      </c>
      <c r="K89" s="9">
        <v>63.7</v>
      </c>
      <c r="L89" s="9">
        <v>53.9</v>
      </c>
      <c r="M89" s="9">
        <v>44.4</v>
      </c>
    </row>
    <row r="90" spans="1:13" x14ac:dyDescent="0.2">
      <c r="A90" s="1">
        <v>1996</v>
      </c>
      <c r="B90" s="9">
        <v>44.6</v>
      </c>
      <c r="C90" s="9">
        <v>51.1</v>
      </c>
      <c r="D90" s="9">
        <v>52.4</v>
      </c>
      <c r="E90" s="9">
        <v>61.1</v>
      </c>
      <c r="F90" s="9">
        <v>72.400000000000006</v>
      </c>
      <c r="G90" s="9">
        <v>78.7</v>
      </c>
      <c r="H90" s="9">
        <v>80.7</v>
      </c>
      <c r="I90" s="9">
        <v>77</v>
      </c>
      <c r="J90" s="9">
        <v>70.2</v>
      </c>
      <c r="K90" s="9">
        <v>61.8</v>
      </c>
      <c r="L90" s="9">
        <v>50.8</v>
      </c>
      <c r="M90" s="9">
        <v>43.3</v>
      </c>
    </row>
    <row r="91" spans="1:13" x14ac:dyDescent="0.2">
      <c r="A91" s="1">
        <v>1997</v>
      </c>
      <c r="B91" s="9">
        <v>42</v>
      </c>
      <c r="C91" s="9">
        <v>46</v>
      </c>
      <c r="D91" s="9">
        <v>53.8</v>
      </c>
      <c r="E91" s="9">
        <v>57.7</v>
      </c>
      <c r="F91" s="9">
        <v>71.099999999999994</v>
      </c>
      <c r="G91" s="9">
        <v>75.8</v>
      </c>
      <c r="H91" s="9">
        <v>79.7</v>
      </c>
      <c r="I91" s="9">
        <v>78.8</v>
      </c>
      <c r="J91" s="9">
        <v>76.400000000000006</v>
      </c>
      <c r="K91" s="9">
        <v>60.6</v>
      </c>
      <c r="L91" s="9">
        <v>50.5</v>
      </c>
      <c r="M91" s="9">
        <v>39</v>
      </c>
    </row>
    <row r="92" spans="1:13" x14ac:dyDescent="0.2">
      <c r="A92" s="1">
        <v>1998</v>
      </c>
      <c r="B92" s="9">
        <v>43.8</v>
      </c>
      <c r="C92" s="9">
        <v>44.1</v>
      </c>
      <c r="D92" s="9">
        <v>50.3</v>
      </c>
      <c r="E92" s="9">
        <v>54.6</v>
      </c>
      <c r="F92" s="9">
        <v>67.5</v>
      </c>
      <c r="G92" s="9">
        <v>75.7</v>
      </c>
      <c r="H92" s="9">
        <v>79.7</v>
      </c>
      <c r="I92" s="9">
        <v>79</v>
      </c>
      <c r="J92" s="9">
        <v>76.3</v>
      </c>
      <c r="K92" s="9">
        <v>63.7</v>
      </c>
      <c r="L92" s="9">
        <v>49.4</v>
      </c>
      <c r="M92" s="9">
        <v>45.1</v>
      </c>
    </row>
    <row r="93" spans="1:13" x14ac:dyDescent="0.2">
      <c r="A93" s="1">
        <v>1999</v>
      </c>
      <c r="B93" s="9">
        <v>46.5</v>
      </c>
      <c r="C93" s="9">
        <v>49.8</v>
      </c>
      <c r="D93" s="9">
        <v>55.4</v>
      </c>
      <c r="E93" s="9">
        <v>58</v>
      </c>
      <c r="F93" s="9">
        <v>69.400000000000006</v>
      </c>
      <c r="G93" s="9">
        <v>75.400000000000006</v>
      </c>
      <c r="H93" s="9">
        <v>77.2</v>
      </c>
      <c r="I93" s="9">
        <v>76.2</v>
      </c>
      <c r="J93" s="9">
        <v>74.5</v>
      </c>
      <c r="K93" s="9">
        <v>64.7</v>
      </c>
      <c r="L93" s="9">
        <v>56.6</v>
      </c>
      <c r="M93" s="9">
        <v>43.5</v>
      </c>
    </row>
    <row r="94" spans="1:13" x14ac:dyDescent="0.2">
      <c r="A94" s="1">
        <v>2000</v>
      </c>
      <c r="B94" s="9">
        <v>48.3</v>
      </c>
      <c r="C94" s="9">
        <v>52.2</v>
      </c>
      <c r="D94" s="9">
        <v>54.7</v>
      </c>
      <c r="E94" s="9">
        <v>66</v>
      </c>
      <c r="F94" s="9">
        <v>75.2</v>
      </c>
      <c r="G94" s="9">
        <v>77.900000000000006</v>
      </c>
      <c r="H94" s="9">
        <v>81</v>
      </c>
      <c r="I94" s="9">
        <v>78.7</v>
      </c>
      <c r="J94" s="9">
        <v>76.400000000000006</v>
      </c>
      <c r="K94" s="9">
        <v>61.3</v>
      </c>
      <c r="L94" s="9">
        <v>45.8</v>
      </c>
      <c r="M94" s="9">
        <v>45.3</v>
      </c>
    </row>
    <row r="95" spans="1:13" x14ac:dyDescent="0.2">
      <c r="A95" s="1">
        <v>2001</v>
      </c>
      <c r="B95" s="9">
        <v>41.4</v>
      </c>
      <c r="C95" s="9">
        <v>47.7</v>
      </c>
      <c r="D95" s="9">
        <v>53.8</v>
      </c>
      <c r="E95" s="9">
        <v>60.7</v>
      </c>
      <c r="F95" s="9">
        <v>72.900000000000006</v>
      </c>
      <c r="G95" s="9">
        <v>80.400000000000006</v>
      </c>
      <c r="H95" s="9">
        <v>79.400000000000006</v>
      </c>
      <c r="I95" s="9">
        <v>77.2</v>
      </c>
      <c r="J95" s="9">
        <v>75.2</v>
      </c>
      <c r="K95" s="9">
        <v>66.900000000000006</v>
      </c>
      <c r="L95" s="9">
        <v>54.5</v>
      </c>
      <c r="M95" s="9">
        <v>42.2</v>
      </c>
    </row>
    <row r="96" spans="1:13" x14ac:dyDescent="0.2">
      <c r="A96" s="1">
        <v>2002</v>
      </c>
      <c r="B96" s="9">
        <v>44.8</v>
      </c>
      <c r="C96" s="9">
        <v>46.8</v>
      </c>
      <c r="D96" s="9">
        <v>53.7</v>
      </c>
      <c r="E96" s="9">
        <v>66.400000000000006</v>
      </c>
      <c r="F96" s="9">
        <v>71.3</v>
      </c>
      <c r="G96" s="9">
        <v>80.7</v>
      </c>
      <c r="H96" s="9">
        <v>80.599999999999994</v>
      </c>
      <c r="I96" s="9">
        <v>79.599999999999994</v>
      </c>
      <c r="J96" s="9">
        <v>74.2</v>
      </c>
      <c r="K96" s="9">
        <v>61.8</v>
      </c>
      <c r="L96" s="9">
        <v>52.2</v>
      </c>
      <c r="M96" s="9">
        <v>42.6</v>
      </c>
    </row>
    <row r="97" spans="1:13" x14ac:dyDescent="0.2">
      <c r="A97" s="1">
        <v>2003</v>
      </c>
      <c r="B97" s="9">
        <v>48.5</v>
      </c>
      <c r="C97" s="9">
        <v>49.1</v>
      </c>
      <c r="D97" s="9">
        <v>52.7</v>
      </c>
      <c r="E97" s="9">
        <v>61.4</v>
      </c>
      <c r="F97" s="9">
        <v>72.400000000000006</v>
      </c>
      <c r="G97" s="9">
        <v>79.099999999999994</v>
      </c>
      <c r="H97" s="9">
        <v>83.7</v>
      </c>
      <c r="I97" s="9">
        <v>80.099999999999994</v>
      </c>
      <c r="J97" s="9">
        <v>76.099999999999994</v>
      </c>
      <c r="K97" s="9">
        <v>68.3</v>
      </c>
      <c r="L97" s="9">
        <v>53.6</v>
      </c>
      <c r="M97" s="9">
        <v>42.5</v>
      </c>
    </row>
    <row r="98" spans="1:13" x14ac:dyDescent="0.2">
      <c r="A98" s="1">
        <v>2004</v>
      </c>
      <c r="B98" s="9">
        <v>41.5</v>
      </c>
      <c r="C98" s="9">
        <v>45.5</v>
      </c>
      <c r="D98" s="9">
        <v>58</v>
      </c>
      <c r="E98" s="9">
        <v>60</v>
      </c>
      <c r="F98" s="9">
        <v>71.400000000000006</v>
      </c>
      <c r="G98" s="9">
        <v>78.599999999999994</v>
      </c>
      <c r="H98" s="9">
        <v>80.2</v>
      </c>
      <c r="I98" s="9">
        <v>76.900000000000006</v>
      </c>
      <c r="J98" s="9">
        <v>71.8</v>
      </c>
      <c r="K98" s="9">
        <v>63.3</v>
      </c>
      <c r="L98" s="9">
        <v>48.9</v>
      </c>
      <c r="M98" s="9">
        <v>43.7</v>
      </c>
    </row>
    <row r="99" spans="1:13" x14ac:dyDescent="0.2">
      <c r="A99" s="1">
        <v>2005</v>
      </c>
      <c r="B99" s="9">
        <v>47.3</v>
      </c>
      <c r="C99" s="9">
        <v>47.7</v>
      </c>
      <c r="D99" s="9">
        <v>51.3</v>
      </c>
      <c r="E99" s="9">
        <v>60.8</v>
      </c>
      <c r="F99" s="9">
        <v>71.2</v>
      </c>
      <c r="G99" s="9">
        <v>79.099999999999994</v>
      </c>
      <c r="H99" s="9">
        <v>83.1</v>
      </c>
      <c r="I99" s="9">
        <v>77.8</v>
      </c>
      <c r="J99" s="9">
        <v>75.7</v>
      </c>
      <c r="K99" s="9">
        <v>64</v>
      </c>
      <c r="L99" s="9">
        <v>54.8</v>
      </c>
      <c r="M99" s="9">
        <v>46.92</v>
      </c>
    </row>
    <row r="100" spans="1:13" x14ac:dyDescent="0.2">
      <c r="A100" s="1">
        <v>2006</v>
      </c>
      <c r="B100" s="9">
        <v>47.2</v>
      </c>
      <c r="C100" s="9">
        <v>51.4</v>
      </c>
      <c r="D100" s="9">
        <v>54.3</v>
      </c>
      <c r="E100" s="9">
        <v>64.2</v>
      </c>
      <c r="F100" s="9">
        <v>72.3</v>
      </c>
      <c r="G100" s="9">
        <v>76</v>
      </c>
      <c r="H100" s="9">
        <v>80.900000000000006</v>
      </c>
      <c r="I100" s="9">
        <v>74</v>
      </c>
      <c r="J100" s="9">
        <v>68.7</v>
      </c>
      <c r="K100" s="9">
        <v>61.3</v>
      </c>
      <c r="L100" s="9">
        <v>54</v>
      </c>
      <c r="M100" s="9">
        <v>42.6</v>
      </c>
    </row>
    <row r="101" spans="1:13" x14ac:dyDescent="0.2">
      <c r="A101" s="1">
        <v>2007</v>
      </c>
      <c r="B101" s="9">
        <v>39.200000000000003</v>
      </c>
      <c r="C101" s="9">
        <v>42.6</v>
      </c>
      <c r="D101" s="9">
        <v>54.6</v>
      </c>
      <c r="E101" s="9">
        <v>61.6</v>
      </c>
      <c r="F101" s="9">
        <v>71</v>
      </c>
      <c r="G101" s="9">
        <v>80.2</v>
      </c>
      <c r="H101" s="9">
        <v>78</v>
      </c>
      <c r="I101" s="9">
        <v>76.900000000000006</v>
      </c>
      <c r="J101" s="9">
        <v>74.7</v>
      </c>
      <c r="K101" s="9">
        <v>65.2</v>
      </c>
      <c r="L101" s="9">
        <v>56</v>
      </c>
      <c r="M101" s="9">
        <v>42.8</v>
      </c>
    </row>
    <row r="102" spans="1:13" x14ac:dyDescent="0.2">
      <c r="A102" s="1">
        <v>2008</v>
      </c>
      <c r="B102" s="9">
        <v>44.1</v>
      </c>
      <c r="C102" s="9">
        <v>49.2</v>
      </c>
      <c r="D102" s="9">
        <v>54.4</v>
      </c>
      <c r="E102" s="9">
        <v>62</v>
      </c>
      <c r="F102" s="9">
        <v>68.5</v>
      </c>
      <c r="G102" s="9">
        <v>80.8</v>
      </c>
      <c r="H102" s="9">
        <v>77.099999999999994</v>
      </c>
      <c r="I102" s="9">
        <v>75.8</v>
      </c>
      <c r="J102" s="9">
        <v>71</v>
      </c>
      <c r="K102" s="9">
        <v>62.9</v>
      </c>
      <c r="L102" s="9">
        <v>52.2</v>
      </c>
      <c r="M102" s="9">
        <v>45.8</v>
      </c>
    </row>
    <row r="103" spans="1:13" x14ac:dyDescent="0.2">
      <c r="A103" s="1">
        <v>2009</v>
      </c>
      <c r="B103" s="9">
        <v>46.3</v>
      </c>
      <c r="C103" s="9">
        <v>50.7</v>
      </c>
      <c r="D103" s="9">
        <v>56.2</v>
      </c>
      <c r="E103" s="9">
        <v>60.6</v>
      </c>
      <c r="F103" s="9">
        <v>72.8</v>
      </c>
      <c r="G103" s="9">
        <v>75.400000000000006</v>
      </c>
      <c r="H103" s="9">
        <v>81.900000000000006</v>
      </c>
      <c r="I103" s="9">
        <v>78.7</v>
      </c>
      <c r="J103" s="9">
        <v>71.7</v>
      </c>
      <c r="K103" s="9">
        <v>61.9</v>
      </c>
      <c r="L103" s="9">
        <v>53.8</v>
      </c>
      <c r="M103" s="9">
        <v>41.7</v>
      </c>
    </row>
    <row r="104" spans="1:13" x14ac:dyDescent="0.2">
      <c r="A104" s="1">
        <v>2010</v>
      </c>
      <c r="B104" s="9">
        <v>41.6</v>
      </c>
      <c r="C104" s="9">
        <v>45.1</v>
      </c>
      <c r="D104" s="9">
        <v>51.3</v>
      </c>
      <c r="E104" s="9">
        <v>59.6</v>
      </c>
      <c r="F104" s="9">
        <v>68.099999999999994</v>
      </c>
      <c r="G104" s="9">
        <v>75.5</v>
      </c>
      <c r="H104" s="9">
        <v>75.599999999999994</v>
      </c>
      <c r="I104" s="9">
        <v>75.7</v>
      </c>
      <c r="J104" s="9">
        <v>67.8</v>
      </c>
      <c r="K104" s="9">
        <v>52.9</v>
      </c>
      <c r="L104" s="9">
        <v>46.4</v>
      </c>
      <c r="M104" s="9">
        <v>48.1</v>
      </c>
    </row>
    <row r="105" spans="1:13" x14ac:dyDescent="0.2">
      <c r="A105" s="1">
        <v>2011</v>
      </c>
      <c r="B105" s="9">
        <v>42.7</v>
      </c>
      <c r="C105" s="9">
        <v>44.5</v>
      </c>
      <c r="D105" s="9">
        <v>58</v>
      </c>
      <c r="E105" s="9">
        <v>64.599999999999994</v>
      </c>
      <c r="F105" s="9">
        <v>67.8</v>
      </c>
      <c r="G105" s="9">
        <v>81.900000000000006</v>
      </c>
      <c r="H105" s="9">
        <v>81.900000000000006</v>
      </c>
      <c r="I105" s="9">
        <v>80.2</v>
      </c>
      <c r="J105" s="9">
        <v>75</v>
      </c>
      <c r="K105" s="9">
        <v>63.8</v>
      </c>
      <c r="L105" s="9">
        <v>50.6</v>
      </c>
      <c r="M105" s="9">
        <v>40.6</v>
      </c>
    </row>
    <row r="106" spans="1:13" x14ac:dyDescent="0.2">
      <c r="A106" s="1">
        <v>2012</v>
      </c>
      <c r="B106" s="9">
        <v>46.5</v>
      </c>
      <c r="C106" s="9">
        <v>47.9</v>
      </c>
      <c r="D106" s="9">
        <v>54.1</v>
      </c>
      <c r="E106" s="9">
        <v>63.4</v>
      </c>
      <c r="F106" s="9">
        <v>71.5</v>
      </c>
      <c r="G106" s="9">
        <v>82</v>
      </c>
      <c r="H106" s="9">
        <v>79.2</v>
      </c>
      <c r="I106" s="9">
        <v>80.5</v>
      </c>
      <c r="J106" s="9">
        <v>72.8</v>
      </c>
      <c r="K106" s="9">
        <v>64.400000000000006</v>
      </c>
      <c r="L106" s="9">
        <v>56.2</v>
      </c>
      <c r="M106" s="9">
        <v>44.5</v>
      </c>
    </row>
    <row r="107" spans="1:13" x14ac:dyDescent="0.2">
      <c r="A107" s="1">
        <v>2013</v>
      </c>
      <c r="B107" s="9">
        <v>40.700000000000003</v>
      </c>
      <c r="C107" s="9">
        <v>43.8</v>
      </c>
      <c r="D107" s="9">
        <v>59</v>
      </c>
      <c r="E107" s="9">
        <v>62</v>
      </c>
      <c r="F107" s="9">
        <v>69.8</v>
      </c>
      <c r="G107" s="9">
        <v>82.8</v>
      </c>
      <c r="H107" s="9">
        <v>79.599999999999994</v>
      </c>
      <c r="I107" s="9">
        <v>78.3</v>
      </c>
      <c r="J107" s="9">
        <v>73.099999999999994</v>
      </c>
      <c r="K107" s="9">
        <v>62.2</v>
      </c>
      <c r="L107" s="9">
        <v>52.3</v>
      </c>
      <c r="M107" s="9">
        <v>43.2</v>
      </c>
    </row>
    <row r="108" spans="1:13" x14ac:dyDescent="0.2">
      <c r="A108" s="1">
        <v>2014</v>
      </c>
      <c r="B108" s="9">
        <v>46</v>
      </c>
      <c r="C108" s="9">
        <v>53.7</v>
      </c>
      <c r="D108" s="9">
        <v>56.3</v>
      </c>
      <c r="E108" s="9">
        <v>61.8</v>
      </c>
      <c r="F108" s="9">
        <v>68.400000000000006</v>
      </c>
      <c r="G108" s="9">
        <v>79.8</v>
      </c>
      <c r="H108" s="9">
        <v>82.3</v>
      </c>
      <c r="I108" s="9">
        <v>78.099999999999994</v>
      </c>
      <c r="J108" s="9">
        <v>75.099999999999994</v>
      </c>
      <c r="K108" s="9">
        <v>66</v>
      </c>
      <c r="L108" s="9">
        <v>51.8</v>
      </c>
      <c r="M108" s="9">
        <v>48.3</v>
      </c>
    </row>
    <row r="109" spans="1:13" x14ac:dyDescent="0.2">
      <c r="A109" s="1">
        <v>2015</v>
      </c>
      <c r="B109" s="9">
        <v>42.6</v>
      </c>
      <c r="C109" s="9">
        <v>51.6</v>
      </c>
      <c r="D109" s="9">
        <v>56.4</v>
      </c>
      <c r="E109" s="9">
        <v>60.4</v>
      </c>
      <c r="F109" s="9">
        <v>65.900000000000006</v>
      </c>
      <c r="G109" s="9">
        <v>80.8</v>
      </c>
      <c r="H109" s="9">
        <v>78.3</v>
      </c>
      <c r="I109" s="9">
        <v>79.5</v>
      </c>
      <c r="J109" s="9">
        <v>74.099999999999994</v>
      </c>
      <c r="K109" s="9">
        <v>64.900000000000006</v>
      </c>
      <c r="L109" s="9">
        <v>51.5</v>
      </c>
      <c r="M109" s="9">
        <v>43.3</v>
      </c>
    </row>
    <row r="110" spans="1:13" x14ac:dyDescent="0.2">
      <c r="A110" s="1">
        <v>2016</v>
      </c>
      <c r="B110" s="9">
        <v>42.8</v>
      </c>
      <c r="C110" s="9">
        <v>50.9</v>
      </c>
      <c r="D110" s="9">
        <v>57.6</v>
      </c>
      <c r="E110" s="9">
        <v>60</v>
      </c>
      <c r="F110" s="9">
        <v>68</v>
      </c>
      <c r="G110" s="9">
        <v>80.599999999999994</v>
      </c>
      <c r="H110" s="9">
        <v>82.4</v>
      </c>
      <c r="I110" s="9">
        <v>75.400000000000006</v>
      </c>
      <c r="J110" s="9">
        <v>72.900000000000006</v>
      </c>
      <c r="K110" s="9">
        <v>67.900000000000006</v>
      </c>
      <c r="L110" s="9">
        <v>53.5</v>
      </c>
      <c r="M110" s="9">
        <v>46.5</v>
      </c>
    </row>
    <row r="111" spans="1:13" x14ac:dyDescent="0.2">
      <c r="A111" s="1">
        <v>2017</v>
      </c>
      <c r="B111" s="9">
        <v>44.9</v>
      </c>
      <c r="C111" s="9">
        <v>50.7</v>
      </c>
      <c r="D111" s="9">
        <v>59.7</v>
      </c>
      <c r="E111" s="9">
        <v>63.7</v>
      </c>
      <c r="F111" s="9">
        <v>67.2</v>
      </c>
      <c r="G111" s="9">
        <v>81.2</v>
      </c>
      <c r="H111" s="9">
        <v>79.2</v>
      </c>
      <c r="I111" s="9">
        <v>76.5</v>
      </c>
      <c r="J111" s="9">
        <v>73.900000000000006</v>
      </c>
      <c r="K111" s="9">
        <v>65.400000000000006</v>
      </c>
      <c r="L111" s="9">
        <v>59.9</v>
      </c>
      <c r="M111" s="9">
        <v>46.2</v>
      </c>
    </row>
    <row r="112" spans="1:13" x14ac:dyDescent="0.2">
      <c r="A112" s="1">
        <v>2018</v>
      </c>
      <c r="B112" s="9">
        <v>47.1</v>
      </c>
      <c r="C112" s="9">
        <v>50.4</v>
      </c>
      <c r="D112" s="9">
        <v>55.6</v>
      </c>
      <c r="E112" s="9">
        <v>66.599999999999994</v>
      </c>
      <c r="F112" s="9">
        <v>72.8</v>
      </c>
      <c r="G112" s="9">
        <v>81.2</v>
      </c>
      <c r="H112" s="9">
        <v>79</v>
      </c>
      <c r="I112" s="9">
        <v>79.5</v>
      </c>
      <c r="J112" s="9">
        <v>74.900000000000006</v>
      </c>
      <c r="K112" s="9">
        <v>60.6</v>
      </c>
      <c r="L112" s="9">
        <v>50.3</v>
      </c>
      <c r="M112" s="9">
        <v>44.5</v>
      </c>
    </row>
    <row r="113" spans="1:13" x14ac:dyDescent="0.2">
      <c r="A113" s="1">
        <v>2019</v>
      </c>
      <c r="B113" s="9">
        <v>43.3</v>
      </c>
      <c r="C113" s="9">
        <v>46</v>
      </c>
      <c r="D113" s="9">
        <v>54.5</v>
      </c>
      <c r="E113" s="9">
        <v>62.3</v>
      </c>
      <c r="F113" s="9">
        <v>66.2</v>
      </c>
      <c r="G113" s="9">
        <v>78.8</v>
      </c>
      <c r="H113" s="9">
        <v>81.400000000000006</v>
      </c>
      <c r="I113" s="9">
        <v>80.7</v>
      </c>
      <c r="J113" s="9">
        <v>74.5</v>
      </c>
      <c r="K113" s="9">
        <v>62</v>
      </c>
      <c r="L113" s="9">
        <v>51.2</v>
      </c>
      <c r="M113" s="9">
        <v>43.4</v>
      </c>
    </row>
    <row r="114" spans="1:13" x14ac:dyDescent="0.2">
      <c r="A114" s="1">
        <v>2020</v>
      </c>
      <c r="B114" s="9">
        <v>45.2</v>
      </c>
      <c r="C114" s="9">
        <v>46.6</v>
      </c>
      <c r="D114" s="9">
        <v>54.1</v>
      </c>
      <c r="E114" s="9">
        <v>62.5</v>
      </c>
      <c r="F114" s="9">
        <v>73.099999999999994</v>
      </c>
      <c r="G114" s="9">
        <v>76.900000000000006</v>
      </c>
      <c r="H114" s="9">
        <v>81.8</v>
      </c>
      <c r="I114" s="9">
        <v>83.1</v>
      </c>
      <c r="J114" s="9">
        <v>74.099999999999994</v>
      </c>
      <c r="K114" s="17">
        <v>62</v>
      </c>
      <c r="L114" s="9">
        <v>52.8</v>
      </c>
      <c r="M114" s="9">
        <v>40.5</v>
      </c>
    </row>
    <row r="115" spans="1:13" x14ac:dyDescent="0.2">
      <c r="A115" s="1">
        <v>2021</v>
      </c>
      <c r="B115" s="9">
        <v>41.4</v>
      </c>
      <c r="C115" s="9">
        <v>46.2</v>
      </c>
      <c r="D115" s="9">
        <v>51</v>
      </c>
      <c r="E115" s="9">
        <v>61.9</v>
      </c>
      <c r="F115" s="9">
        <v>67.8</v>
      </c>
      <c r="G115" s="9">
        <v>78.400000000000006</v>
      </c>
      <c r="H115" s="9">
        <v>79.5</v>
      </c>
      <c r="I115" s="9">
        <v>78.599999999999994</v>
      </c>
      <c r="J115" s="9">
        <v>72.7</v>
      </c>
      <c r="K115" s="17">
        <v>64.3</v>
      </c>
      <c r="L115" s="9">
        <v>52.1</v>
      </c>
      <c r="M115" s="9">
        <v>47.3</v>
      </c>
    </row>
    <row r="116" spans="1:13" x14ac:dyDescent="0.2">
      <c r="A116" s="1">
        <v>2022</v>
      </c>
      <c r="B116" s="9">
        <v>42.306451612903224</v>
      </c>
      <c r="C116" s="9">
        <v>43.767857142857146</v>
      </c>
      <c r="D116" s="9">
        <v>50.983870967741936</v>
      </c>
      <c r="E116" s="9">
        <v>60.568965517241381</v>
      </c>
      <c r="F116" s="9">
        <v>67.870967741935488</v>
      </c>
      <c r="G116" s="9">
        <v>77.2</v>
      </c>
      <c r="H116" s="9">
        <v>81.241935483870975</v>
      </c>
      <c r="I116" s="9">
        <v>77.558755760368655</v>
      </c>
      <c r="J116" s="9">
        <v>73.444444444444443</v>
      </c>
      <c r="K116" s="17">
        <v>61.581317204301072</v>
      </c>
      <c r="L116" s="9">
        <v>47.645833333333329</v>
      </c>
      <c r="M116" s="9">
        <v>43.5</v>
      </c>
    </row>
    <row r="117" spans="1:13" x14ac:dyDescent="0.2">
      <c r="A117" s="1">
        <v>2023</v>
      </c>
      <c r="B117" s="1">
        <v>43.2</v>
      </c>
      <c r="C117" s="1">
        <v>44.8</v>
      </c>
      <c r="D117" s="1">
        <v>51.5</v>
      </c>
      <c r="E117" s="1">
        <v>60.9</v>
      </c>
      <c r="F117" s="1">
        <v>67.3</v>
      </c>
      <c r="G117" s="1">
        <v>74.5</v>
      </c>
      <c r="H117" s="1">
        <v>85.8</v>
      </c>
      <c r="I117" s="1">
        <v>80.599999999999994</v>
      </c>
      <c r="J117" s="1">
        <v>75.2</v>
      </c>
      <c r="K117" s="1">
        <v>65.7</v>
      </c>
      <c r="L117" s="1">
        <v>53.9</v>
      </c>
      <c r="M117" s="1">
        <v>45.1</v>
      </c>
    </row>
    <row r="118" spans="1:13" x14ac:dyDescent="0.2">
      <c r="A118" s="1">
        <v>2024</v>
      </c>
      <c r="B118" s="1">
        <v>44.3</v>
      </c>
      <c r="C118" s="1">
        <v>50</v>
      </c>
      <c r="D118" s="1">
        <v>52.7</v>
      </c>
      <c r="E118" s="1">
        <v>59.5</v>
      </c>
      <c r="F118" s="1">
        <v>68.099999999999994</v>
      </c>
      <c r="G118" s="1">
        <v>81.400000000000006</v>
      </c>
      <c r="H118" s="1">
        <v>83.3</v>
      </c>
      <c r="I118" s="1">
        <v>82.8</v>
      </c>
      <c r="J118" s="1">
        <v>73.8</v>
      </c>
      <c r="K118" s="1">
        <v>66.599999999999994</v>
      </c>
      <c r="L118" s="1">
        <v>50.1</v>
      </c>
      <c r="M118" s="1">
        <v>47.3</v>
      </c>
    </row>
    <row r="119" spans="1:13" x14ac:dyDescent="0.2">
      <c r="A119" s="2" t="s">
        <v>100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1">
        <v>1968</v>
      </c>
      <c r="B120" s="1" t="s">
        <v>18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">
      <c r="A121" s="1">
        <v>1969</v>
      </c>
      <c r="B121" s="1" t="s">
        <v>18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">
      <c r="A122" s="1">
        <v>1970</v>
      </c>
      <c r="B122" s="1" t="s">
        <v>18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">
      <c r="A123" s="1">
        <v>1971</v>
      </c>
      <c r="B123" s="1" t="s">
        <v>18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">
      <c r="A124" s="1">
        <v>1972</v>
      </c>
      <c r="B124" s="1" t="s">
        <v>32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">
      <c r="A125" s="1">
        <v>1973</v>
      </c>
      <c r="B125" s="1" t="s">
        <v>18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">
      <c r="A126" s="1">
        <v>1974</v>
      </c>
      <c r="B126" s="1" t="s">
        <v>18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">
      <c r="A127" s="1">
        <v>1975</v>
      </c>
      <c r="B127" s="1" t="s">
        <v>18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">
      <c r="A128" s="1">
        <v>1976</v>
      </c>
      <c r="B128" s="1" t="s">
        <v>38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">
      <c r="A129" s="1">
        <v>1977</v>
      </c>
      <c r="B129" s="1" t="s">
        <v>42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">
      <c r="A130" s="1">
        <v>1978</v>
      </c>
      <c r="B130" s="1" t="s">
        <v>45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">
      <c r="A131" s="1">
        <v>1979</v>
      </c>
      <c r="B131" s="1" t="s">
        <v>48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">
      <c r="A132" s="1">
        <v>1980</v>
      </c>
      <c r="B132" s="1" t="s">
        <v>48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">
      <c r="A133" s="1">
        <v>1981</v>
      </c>
      <c r="B133" s="1" t="s">
        <v>48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">
      <c r="A134" s="1">
        <v>1982</v>
      </c>
      <c r="B134" s="1" t="s">
        <v>48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">
      <c r="A135" s="1">
        <v>1983</v>
      </c>
      <c r="B135" s="1" t="s">
        <v>48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">
      <c r="A136" s="1">
        <v>1984</v>
      </c>
      <c r="B136" s="1" t="s">
        <v>48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">
      <c r="A137" s="1">
        <v>1985</v>
      </c>
      <c r="B137" s="1" t="s">
        <v>48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">
      <c r="A138" s="1">
        <v>1986</v>
      </c>
      <c r="B138" s="1" t="s">
        <v>48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">
      <c r="A139" s="1">
        <v>1987</v>
      </c>
      <c r="B139" s="1" t="s">
        <v>48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">
      <c r="A140" s="1">
        <v>1988</v>
      </c>
      <c r="B140" s="1" t="s">
        <v>48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">
      <c r="A141" s="1">
        <v>1989</v>
      </c>
      <c r="B141" s="1" t="s">
        <v>48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">
      <c r="A142" s="1">
        <v>1990</v>
      </c>
      <c r="B142" s="1" t="s">
        <v>48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">
      <c r="A143" s="1">
        <v>1991</v>
      </c>
      <c r="B143" s="1" t="s">
        <v>48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">
      <c r="A144" s="1">
        <v>1992</v>
      </c>
      <c r="B144" s="1" t="s">
        <v>48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">
      <c r="A145" s="1">
        <v>1993</v>
      </c>
      <c r="B145" s="1" t="s">
        <v>48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">
      <c r="A146" s="1">
        <v>1994</v>
      </c>
      <c r="B146" s="1" t="s">
        <v>48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">
      <c r="A147" s="1">
        <v>1995</v>
      </c>
      <c r="B147" s="1" t="s">
        <v>48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">
      <c r="A148" s="1">
        <v>1996</v>
      </c>
      <c r="B148" s="1" t="s">
        <v>48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">
      <c r="A149" s="1">
        <v>1997</v>
      </c>
      <c r="B149" s="1" t="s">
        <v>48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">
      <c r="A150" s="1">
        <v>1998</v>
      </c>
      <c r="B150" s="1" t="s">
        <v>122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">
      <c r="A151" s="1">
        <v>1999</v>
      </c>
      <c r="B151" s="1" t="s">
        <v>85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">
      <c r="A152" s="1">
        <v>2000</v>
      </c>
      <c r="B152" s="1" t="s">
        <v>86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">
      <c r="A153" s="1">
        <v>2001</v>
      </c>
      <c r="B153" s="1" t="s">
        <v>87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">
      <c r="A154" s="1">
        <v>2002</v>
      </c>
      <c r="B154" s="1" t="s">
        <v>88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">
      <c r="A155" s="1">
        <v>2003</v>
      </c>
      <c r="B155" s="1" t="s">
        <v>89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">
      <c r="A156" s="1">
        <v>2004</v>
      </c>
      <c r="B156" s="1" t="s">
        <v>90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">
      <c r="A157" s="1">
        <v>2005</v>
      </c>
      <c r="B157" s="1" t="s">
        <v>91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">
      <c r="A158" s="1">
        <v>2006</v>
      </c>
      <c r="B158" s="1" t="s">
        <v>110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">
      <c r="A159" s="1">
        <v>2007</v>
      </c>
      <c r="B159" s="1" t="s">
        <v>110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">
      <c r="A160" s="1">
        <v>2008</v>
      </c>
      <c r="B160" s="1" t="s">
        <v>110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">
      <c r="A161" s="1">
        <v>2009</v>
      </c>
      <c r="B161" s="1" t="s">
        <v>110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">
      <c r="A162" s="1">
        <v>2010</v>
      </c>
      <c r="B162" s="1" t="s">
        <v>110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">
      <c r="A163" s="1">
        <v>2011</v>
      </c>
      <c r="B163" s="1" t="s">
        <v>110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">
      <c r="A164" s="1">
        <v>2012</v>
      </c>
      <c r="B164" s="1" t="s">
        <v>110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">
      <c r="A165" s="1">
        <v>2013</v>
      </c>
      <c r="B165" s="1" t="s">
        <v>110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">
      <c r="A166" s="1">
        <v>2014</v>
      </c>
      <c r="B166" s="1" t="s">
        <v>199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">
      <c r="A167" s="1">
        <v>2015</v>
      </c>
      <c r="B167" s="1" t="s">
        <v>110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">
      <c r="A168" s="1">
        <v>2016</v>
      </c>
      <c r="B168" s="1" t="s">
        <v>110</v>
      </c>
      <c r="C168" s="1"/>
      <c r="D168" s="1"/>
      <c r="E168" s="1"/>
      <c r="F168" s="1"/>
      <c r="G168" s="1"/>
      <c r="H168" s="1"/>
      <c r="I168" s="1"/>
      <c r="L168" s="1"/>
      <c r="M168" s="1"/>
    </row>
    <row r="169" spans="1:13" x14ac:dyDescent="0.2">
      <c r="A169" s="1">
        <v>2017</v>
      </c>
      <c r="B169" s="1" t="s">
        <v>110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">
      <c r="A170" s="1">
        <v>2018</v>
      </c>
      <c r="B170" s="1" t="s">
        <v>110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">
      <c r="A171" s="1">
        <v>2019</v>
      </c>
      <c r="B171" s="1" t="s">
        <v>110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">
      <c r="A172" s="1">
        <v>2020</v>
      </c>
      <c r="B172" s="1" t="s">
        <v>220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">
      <c r="A173" s="1">
        <v>2021</v>
      </c>
      <c r="B173" s="1" t="s">
        <v>224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">
      <c r="A174" s="1">
        <v>2022</v>
      </c>
      <c r="B174" s="1" t="s">
        <v>224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">
      <c r="A175" s="1">
        <v>2023</v>
      </c>
      <c r="B175" s="1" t="s">
        <v>233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">
      <c r="A176" s="1">
        <v>2024</v>
      </c>
      <c r="B176" s="1" t="s">
        <v>233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">
      <c r="A177" s="2" t="s">
        <v>10</v>
      </c>
      <c r="B177" s="1"/>
      <c r="C177" s="2" t="s">
        <v>136</v>
      </c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 spans="1:13" x14ac:dyDescent="0.2">
      <c r="A178" s="2"/>
      <c r="B178" s="1" t="s">
        <v>137</v>
      </c>
      <c r="C178" s="2"/>
      <c r="D178" s="2"/>
      <c r="E178" s="1" t="s">
        <v>137</v>
      </c>
      <c r="F178" s="2"/>
      <c r="G178" s="2"/>
      <c r="H178" s="1" t="s">
        <v>140</v>
      </c>
      <c r="I178" s="2"/>
      <c r="J178" s="2"/>
      <c r="K178" s="1" t="s">
        <v>140</v>
      </c>
      <c r="L178" s="2"/>
      <c r="M178" s="1"/>
    </row>
    <row r="179" spans="1:13" x14ac:dyDescent="0.2">
      <c r="A179" s="1"/>
      <c r="B179" s="8" t="s">
        <v>139</v>
      </c>
      <c r="C179" s="8"/>
      <c r="D179" s="1"/>
      <c r="E179" s="8" t="s">
        <v>138</v>
      </c>
      <c r="F179" s="8"/>
      <c r="G179" s="1"/>
      <c r="H179" s="8" t="s">
        <v>138</v>
      </c>
      <c r="I179" s="8"/>
      <c r="J179" s="1"/>
      <c r="K179" s="8" t="s">
        <v>139</v>
      </c>
      <c r="L179" s="8"/>
      <c r="M179" s="1"/>
    </row>
    <row r="180" spans="1:13" x14ac:dyDescent="0.2">
      <c r="A180" s="1">
        <v>1968</v>
      </c>
      <c r="B180" s="1">
        <v>4</v>
      </c>
      <c r="C180" s="1">
        <v>23</v>
      </c>
      <c r="D180" s="1"/>
      <c r="E180" s="1">
        <v>4</v>
      </c>
      <c r="F180" s="1">
        <v>25</v>
      </c>
      <c r="G180" s="1"/>
      <c r="H180" s="1">
        <v>10</v>
      </c>
      <c r="I180" s="1">
        <v>16</v>
      </c>
      <c r="J180" s="1"/>
      <c r="K180" s="1">
        <v>10</v>
      </c>
      <c r="L180" s="1">
        <v>18</v>
      </c>
      <c r="M180" s="1"/>
    </row>
    <row r="181" spans="1:13" x14ac:dyDescent="0.2">
      <c r="A181" s="1">
        <v>1969</v>
      </c>
      <c r="B181" s="1">
        <v>3</v>
      </c>
      <c r="C181" s="1">
        <v>28</v>
      </c>
      <c r="D181" s="1"/>
      <c r="E181" s="1">
        <v>4</v>
      </c>
      <c r="F181" s="1">
        <v>27</v>
      </c>
      <c r="G181" s="1"/>
      <c r="H181" s="1">
        <v>10</v>
      </c>
      <c r="I181" s="1">
        <v>31</v>
      </c>
      <c r="J181" s="1"/>
      <c r="K181" s="1">
        <v>10</v>
      </c>
      <c r="L181" s="1">
        <v>31</v>
      </c>
      <c r="M181" s="1"/>
    </row>
    <row r="182" spans="1:13" x14ac:dyDescent="0.2">
      <c r="A182" s="1">
        <v>1970</v>
      </c>
      <c r="B182" s="1">
        <v>4</v>
      </c>
      <c r="C182" s="1">
        <v>30</v>
      </c>
      <c r="D182" s="1"/>
      <c r="E182" s="1">
        <v>5</v>
      </c>
      <c r="F182" s="1">
        <v>1</v>
      </c>
      <c r="G182" s="1"/>
      <c r="H182" s="1">
        <v>10</v>
      </c>
      <c r="I182" s="1">
        <v>9</v>
      </c>
      <c r="J182" s="1"/>
      <c r="K182" s="1">
        <v>10</v>
      </c>
      <c r="L182" s="1">
        <v>9</v>
      </c>
      <c r="M182" s="1"/>
    </row>
    <row r="183" spans="1:13" x14ac:dyDescent="0.2">
      <c r="A183" s="1">
        <v>1971</v>
      </c>
      <c r="B183" s="1">
        <v>4</v>
      </c>
      <c r="C183" s="1">
        <v>20</v>
      </c>
      <c r="D183" s="1"/>
      <c r="E183" s="1">
        <v>4</v>
      </c>
      <c r="F183" s="1">
        <v>20</v>
      </c>
      <c r="G183" s="1"/>
      <c r="H183" s="1">
        <v>10</v>
      </c>
      <c r="I183" s="1">
        <v>27</v>
      </c>
      <c r="J183" s="1"/>
      <c r="K183" s="1">
        <v>10</v>
      </c>
      <c r="L183" s="1">
        <v>30</v>
      </c>
      <c r="M183" s="1"/>
    </row>
    <row r="184" spans="1:13" x14ac:dyDescent="0.2">
      <c r="A184" s="1">
        <v>1972</v>
      </c>
      <c r="B184" s="1">
        <v>4</v>
      </c>
      <c r="C184" s="1">
        <v>15</v>
      </c>
      <c r="D184" s="1"/>
      <c r="E184" s="1">
        <v>4</v>
      </c>
      <c r="F184" s="1">
        <v>29</v>
      </c>
      <c r="G184" s="1"/>
      <c r="H184" s="1">
        <v>11</v>
      </c>
      <c r="I184" s="1">
        <v>1</v>
      </c>
      <c r="J184" s="1"/>
      <c r="K184" s="1">
        <v>11</v>
      </c>
      <c r="L184" s="1">
        <v>1</v>
      </c>
      <c r="M184" s="1"/>
    </row>
    <row r="185" spans="1:13" x14ac:dyDescent="0.2">
      <c r="A185" s="1">
        <v>1973</v>
      </c>
      <c r="B185" s="1">
        <v>4</v>
      </c>
      <c r="C185" s="1">
        <v>10</v>
      </c>
      <c r="D185" s="1"/>
      <c r="E185" s="1">
        <v>4</v>
      </c>
      <c r="F185" s="1">
        <v>17</v>
      </c>
      <c r="G185" s="1"/>
      <c r="H185" s="1">
        <v>10</v>
      </c>
      <c r="I185" s="1">
        <v>11</v>
      </c>
      <c r="J185" s="1"/>
      <c r="K185" s="1">
        <v>10</v>
      </c>
      <c r="L185" s="1">
        <v>31</v>
      </c>
      <c r="M185" s="1"/>
    </row>
    <row r="186" spans="1:13" x14ac:dyDescent="0.2">
      <c r="A186" s="1">
        <v>1974</v>
      </c>
      <c r="B186" s="1">
        <v>4</v>
      </c>
      <c r="C186" s="1">
        <v>4</v>
      </c>
      <c r="D186" s="1"/>
      <c r="E186" s="1">
        <v>5</v>
      </c>
      <c r="F186" s="1">
        <v>21</v>
      </c>
      <c r="G186" s="1"/>
      <c r="H186" s="1">
        <v>10</v>
      </c>
      <c r="I186" s="1">
        <v>31</v>
      </c>
      <c r="J186" s="1"/>
      <c r="K186" s="1">
        <v>11</v>
      </c>
      <c r="L186" s="1">
        <v>4</v>
      </c>
      <c r="M186" s="1"/>
    </row>
    <row r="187" spans="1:13" x14ac:dyDescent="0.2">
      <c r="A187" s="1">
        <v>1975</v>
      </c>
      <c r="B187" s="1">
        <v>5</v>
      </c>
      <c r="C187" s="1">
        <v>7</v>
      </c>
      <c r="D187" s="1"/>
      <c r="E187" s="1">
        <v>5</v>
      </c>
      <c r="F187" s="1">
        <v>8</v>
      </c>
      <c r="G187" s="1"/>
      <c r="H187" s="1">
        <v>10</v>
      </c>
      <c r="I187" s="1">
        <v>15</v>
      </c>
      <c r="J187" s="1"/>
      <c r="K187" s="1">
        <v>11</v>
      </c>
      <c r="L187" s="1">
        <v>3</v>
      </c>
      <c r="M187" s="1"/>
    </row>
    <row r="188" spans="1:13" x14ac:dyDescent="0.2">
      <c r="A188" s="1">
        <v>1976</v>
      </c>
      <c r="B188" s="1">
        <v>4</v>
      </c>
      <c r="C188" s="1">
        <v>19</v>
      </c>
      <c r="D188" s="1"/>
      <c r="E188" s="1">
        <v>4</v>
      </c>
      <c r="F188" s="1">
        <v>19</v>
      </c>
      <c r="G188" s="1"/>
      <c r="H188" s="1">
        <v>10</v>
      </c>
      <c r="I188" s="1">
        <v>8</v>
      </c>
      <c r="J188" s="1"/>
      <c r="K188" s="1">
        <v>10</v>
      </c>
      <c r="L188" s="1">
        <v>8</v>
      </c>
      <c r="M188" s="1"/>
    </row>
    <row r="189" spans="1:13" x14ac:dyDescent="0.2">
      <c r="A189" s="1">
        <v>1977</v>
      </c>
      <c r="B189" s="1">
        <v>4</v>
      </c>
      <c r="C189" s="1">
        <v>7</v>
      </c>
      <c r="D189" s="1"/>
      <c r="E189" s="1">
        <v>4</v>
      </c>
      <c r="F189" s="1">
        <v>20</v>
      </c>
      <c r="G189" s="1"/>
      <c r="H189" s="1">
        <v>10</v>
      </c>
      <c r="I189" s="1">
        <v>20</v>
      </c>
      <c r="J189" s="1"/>
      <c r="K189" s="1">
        <v>10</v>
      </c>
      <c r="L189" s="1">
        <v>30</v>
      </c>
      <c r="M189" s="1"/>
    </row>
    <row r="190" spans="1:13" x14ac:dyDescent="0.2">
      <c r="A190" s="1">
        <v>1978</v>
      </c>
      <c r="B190" s="1">
        <v>4</v>
      </c>
      <c r="C190" s="1">
        <v>10</v>
      </c>
      <c r="D190" s="1"/>
      <c r="E190" s="1">
        <v>4</v>
      </c>
      <c r="F190" s="1">
        <v>18</v>
      </c>
      <c r="G190" s="1"/>
      <c r="H190" s="1">
        <v>11</v>
      </c>
      <c r="I190" s="1">
        <v>17</v>
      </c>
      <c r="J190" s="1"/>
      <c r="K190" s="1">
        <v>11</v>
      </c>
      <c r="L190" s="1">
        <v>17</v>
      </c>
      <c r="M190" s="1"/>
    </row>
    <row r="191" spans="1:13" x14ac:dyDescent="0.2">
      <c r="A191" s="1">
        <v>1979</v>
      </c>
      <c r="B191" s="1">
        <v>4</v>
      </c>
      <c r="C191" s="1">
        <v>5</v>
      </c>
      <c r="D191" s="1"/>
      <c r="E191" s="1">
        <v>5</v>
      </c>
      <c r="F191" s="1">
        <v>12</v>
      </c>
      <c r="G191" s="1"/>
      <c r="H191" s="1">
        <v>10</v>
      </c>
      <c r="I191" s="1">
        <v>22</v>
      </c>
      <c r="J191" s="1"/>
      <c r="K191" s="1">
        <v>10</v>
      </c>
      <c r="L191" s="1">
        <v>31</v>
      </c>
      <c r="M191" s="1"/>
    </row>
    <row r="192" spans="1:13" x14ac:dyDescent="0.2">
      <c r="A192" s="1">
        <v>1980</v>
      </c>
      <c r="B192" s="1">
        <v>4</v>
      </c>
      <c r="C192" s="1">
        <v>14</v>
      </c>
      <c r="D192" s="1"/>
      <c r="E192" s="1">
        <v>4</v>
      </c>
      <c r="F192" s="1">
        <v>14</v>
      </c>
      <c r="G192" s="1"/>
      <c r="H192" s="1">
        <v>10</v>
      </c>
      <c r="I192" s="1">
        <v>17</v>
      </c>
      <c r="J192" s="1"/>
      <c r="K192" s="1">
        <v>10</v>
      </c>
      <c r="L192" s="1">
        <v>17</v>
      </c>
      <c r="M192" s="1"/>
    </row>
    <row r="193" spans="1:13" x14ac:dyDescent="0.2">
      <c r="A193" s="1">
        <v>1981</v>
      </c>
      <c r="B193" s="1">
        <v>4</v>
      </c>
      <c r="C193" s="1">
        <v>5</v>
      </c>
      <c r="D193" s="1"/>
      <c r="E193" s="1">
        <v>4</v>
      </c>
      <c r="F193" s="1">
        <v>5</v>
      </c>
      <c r="G193" s="1"/>
      <c r="H193" s="1">
        <v>10</v>
      </c>
      <c r="I193" s="1">
        <v>24</v>
      </c>
      <c r="J193" s="1"/>
      <c r="K193" s="1">
        <v>10</v>
      </c>
      <c r="L193" s="1">
        <v>24</v>
      </c>
      <c r="M193" s="1"/>
    </row>
    <row r="194" spans="1:13" x14ac:dyDescent="0.2">
      <c r="A194" s="1">
        <v>1982</v>
      </c>
      <c r="B194" s="1">
        <v>4</v>
      </c>
      <c r="C194" s="1">
        <v>5</v>
      </c>
      <c r="D194" s="1"/>
      <c r="E194" s="1">
        <v>4</v>
      </c>
      <c r="F194" s="1">
        <v>8</v>
      </c>
      <c r="G194" s="1"/>
      <c r="H194" s="1">
        <v>10</v>
      </c>
      <c r="I194" s="1">
        <v>9</v>
      </c>
      <c r="J194" s="1"/>
      <c r="K194" s="1">
        <v>10</v>
      </c>
      <c r="L194" s="1">
        <v>28</v>
      </c>
      <c r="M194" s="1"/>
    </row>
    <row r="195" spans="1:13" x14ac:dyDescent="0.2">
      <c r="A195" s="1">
        <v>1983</v>
      </c>
      <c r="B195" s="1">
        <v>4</v>
      </c>
      <c r="C195" s="1">
        <v>15</v>
      </c>
      <c r="D195" s="1"/>
      <c r="E195" s="1">
        <v>4</v>
      </c>
      <c r="F195" s="1">
        <v>16</v>
      </c>
      <c r="G195" s="1"/>
      <c r="H195" s="1">
        <v>11</v>
      </c>
      <c r="I195" s="1">
        <v>16</v>
      </c>
      <c r="J195" s="1"/>
      <c r="K195" s="1">
        <v>11</v>
      </c>
      <c r="L195" s="1">
        <v>20</v>
      </c>
      <c r="M195" s="1"/>
    </row>
    <row r="196" spans="1:13" x14ac:dyDescent="0.2">
      <c r="A196" s="1">
        <v>1984</v>
      </c>
      <c r="B196" s="1">
        <v>4</v>
      </c>
      <c r="C196" s="1">
        <v>30</v>
      </c>
      <c r="D196" s="1"/>
      <c r="E196" s="1">
        <v>4</v>
      </c>
      <c r="F196" s="1">
        <v>30</v>
      </c>
      <c r="G196" s="1"/>
      <c r="H196" s="1">
        <v>11</v>
      </c>
      <c r="I196" s="1">
        <v>5</v>
      </c>
      <c r="J196" s="1"/>
      <c r="K196" s="1">
        <v>11</v>
      </c>
      <c r="L196" s="1">
        <v>9</v>
      </c>
      <c r="M196" s="1"/>
    </row>
    <row r="197" spans="1:13" x14ac:dyDescent="0.2">
      <c r="A197" s="1">
        <v>1985</v>
      </c>
      <c r="B197" s="1">
        <v>4</v>
      </c>
      <c r="C197" s="1">
        <v>2</v>
      </c>
      <c r="D197" s="1"/>
      <c r="E197" s="1">
        <v>4</v>
      </c>
      <c r="F197" s="1">
        <v>19</v>
      </c>
      <c r="G197" s="1"/>
      <c r="H197" s="1">
        <v>11</v>
      </c>
      <c r="I197" s="1">
        <v>4</v>
      </c>
      <c r="J197" s="1"/>
      <c r="K197" s="1">
        <v>11</v>
      </c>
      <c r="L197" s="1">
        <v>14</v>
      </c>
      <c r="M197" s="1"/>
    </row>
    <row r="198" spans="1:13" x14ac:dyDescent="0.2">
      <c r="A198" s="1">
        <v>1986</v>
      </c>
      <c r="B198" s="1">
        <v>4</v>
      </c>
      <c r="C198" s="1">
        <v>18</v>
      </c>
      <c r="D198" s="1"/>
      <c r="E198" s="1">
        <v>5</v>
      </c>
      <c r="F198" s="1">
        <v>9</v>
      </c>
      <c r="G198" s="1"/>
      <c r="H198" s="1">
        <v>10</v>
      </c>
      <c r="I198" s="1">
        <v>14</v>
      </c>
      <c r="J198" s="1"/>
      <c r="K198" s="1">
        <v>10</v>
      </c>
      <c r="L198" s="1">
        <v>28</v>
      </c>
      <c r="M198" s="1"/>
    </row>
    <row r="199" spans="1:13" x14ac:dyDescent="0.2">
      <c r="A199" s="1">
        <v>1987</v>
      </c>
      <c r="B199" s="1">
        <v>4</v>
      </c>
      <c r="C199" s="1">
        <v>14</v>
      </c>
      <c r="D199" s="1"/>
      <c r="E199" s="1">
        <v>4</v>
      </c>
      <c r="F199" s="1">
        <v>23</v>
      </c>
      <c r="G199" s="1"/>
      <c r="H199" s="1">
        <v>11</v>
      </c>
      <c r="I199" s="1">
        <v>7</v>
      </c>
      <c r="J199" s="1"/>
      <c r="K199" s="1">
        <v>11</v>
      </c>
      <c r="L199" s="1">
        <v>12</v>
      </c>
      <c r="M199" s="1"/>
    </row>
    <row r="200" spans="1:13" x14ac:dyDescent="0.2">
      <c r="A200" s="1">
        <v>1988</v>
      </c>
      <c r="B200" s="1">
        <v>5</v>
      </c>
      <c r="C200" s="1">
        <v>7</v>
      </c>
      <c r="D200" s="1"/>
      <c r="E200" s="1">
        <v>5</v>
      </c>
      <c r="F200" s="1">
        <v>7</v>
      </c>
      <c r="G200" s="1"/>
      <c r="H200" s="1">
        <v>11</v>
      </c>
      <c r="I200" s="1">
        <v>13</v>
      </c>
      <c r="J200" s="1"/>
      <c r="K200" s="1">
        <v>11</v>
      </c>
      <c r="L200" s="1">
        <v>16</v>
      </c>
      <c r="M200" s="1"/>
    </row>
    <row r="201" spans="1:13" x14ac:dyDescent="0.2">
      <c r="A201" s="1">
        <v>1989</v>
      </c>
      <c r="B201" s="1">
        <v>4</v>
      </c>
      <c r="C201" s="1">
        <v>27</v>
      </c>
      <c r="D201" s="1"/>
      <c r="E201" s="1">
        <v>4</v>
      </c>
      <c r="F201" s="1">
        <v>28</v>
      </c>
      <c r="G201" s="1"/>
      <c r="H201" s="1">
        <v>10</v>
      </c>
      <c r="I201" s="1">
        <v>27</v>
      </c>
      <c r="J201" s="1"/>
      <c r="K201" s="1">
        <v>10</v>
      </c>
      <c r="L201" s="1">
        <v>30</v>
      </c>
      <c r="M201" s="1"/>
    </row>
    <row r="202" spans="1:13" x14ac:dyDescent="0.2">
      <c r="A202" s="1">
        <v>1990</v>
      </c>
      <c r="B202" s="1">
        <v>3</v>
      </c>
      <c r="C202" s="1">
        <v>18</v>
      </c>
      <c r="D202" s="1"/>
      <c r="E202" s="1">
        <v>4</v>
      </c>
      <c r="F202" s="1">
        <v>1</v>
      </c>
      <c r="G202" s="1"/>
      <c r="H202" s="1">
        <v>10</v>
      </c>
      <c r="I202" s="1">
        <v>23</v>
      </c>
      <c r="J202" s="1"/>
      <c r="K202" s="1">
        <v>11</v>
      </c>
      <c r="L202" s="1">
        <v>4</v>
      </c>
      <c r="M202" s="1"/>
    </row>
    <row r="203" spans="1:13" x14ac:dyDescent="0.2">
      <c r="A203" s="1">
        <v>1991</v>
      </c>
      <c r="B203" s="1">
        <v>4</v>
      </c>
      <c r="C203" s="1">
        <v>29</v>
      </c>
      <c r="D203" s="1"/>
      <c r="E203" s="1">
        <v>5</v>
      </c>
      <c r="F203" s="1">
        <v>5</v>
      </c>
      <c r="G203" s="1"/>
      <c r="H203" s="1">
        <v>10</v>
      </c>
      <c r="I203" s="1">
        <v>28</v>
      </c>
      <c r="J203" s="1"/>
      <c r="K203" s="1">
        <v>10</v>
      </c>
      <c r="L203" s="1">
        <v>28</v>
      </c>
      <c r="M203" s="1"/>
    </row>
    <row r="204" spans="1:13" x14ac:dyDescent="0.2">
      <c r="A204" s="1">
        <v>1992</v>
      </c>
      <c r="B204" s="1">
        <v>3</v>
      </c>
      <c r="C204" s="1">
        <v>20</v>
      </c>
      <c r="D204" s="1"/>
      <c r="E204" s="1">
        <v>4</v>
      </c>
      <c r="F204" s="1">
        <v>20</v>
      </c>
      <c r="G204" s="1"/>
      <c r="H204" s="1">
        <v>10</v>
      </c>
      <c r="I204" s="1">
        <v>8</v>
      </c>
      <c r="J204" s="1"/>
      <c r="K204" s="1">
        <v>10</v>
      </c>
      <c r="L204" s="1">
        <v>8</v>
      </c>
      <c r="M204" s="1"/>
    </row>
    <row r="205" spans="1:13" x14ac:dyDescent="0.2">
      <c r="A205" s="1">
        <v>1993</v>
      </c>
      <c r="B205" s="1">
        <v>4</v>
      </c>
      <c r="C205" s="1">
        <v>9</v>
      </c>
      <c r="D205" s="1"/>
      <c r="E205" s="1">
        <v>4</v>
      </c>
      <c r="F205" s="1">
        <v>20</v>
      </c>
      <c r="G205" s="1"/>
      <c r="H205" s="1">
        <v>10</v>
      </c>
      <c r="I205" s="1">
        <v>24</v>
      </c>
      <c r="J205" s="1"/>
      <c r="K205" s="1">
        <v>10</v>
      </c>
      <c r="L205" s="1">
        <v>28</v>
      </c>
      <c r="M205" s="1"/>
    </row>
    <row r="206" spans="1:13" x14ac:dyDescent="0.2">
      <c r="A206" s="1">
        <v>1994</v>
      </c>
      <c r="B206" s="1">
        <v>4</v>
      </c>
      <c r="C206" s="1">
        <v>28</v>
      </c>
      <c r="D206" s="1"/>
      <c r="E206" s="1">
        <v>5</v>
      </c>
      <c r="F206" s="1">
        <v>13</v>
      </c>
      <c r="G206" s="1"/>
      <c r="H206" s="1">
        <v>11</v>
      </c>
      <c r="I206" s="1">
        <v>1</v>
      </c>
      <c r="J206" s="1"/>
      <c r="K206" s="1">
        <v>11</v>
      </c>
      <c r="L206" s="1">
        <v>5</v>
      </c>
      <c r="M206" s="1"/>
    </row>
    <row r="207" spans="1:13" x14ac:dyDescent="0.2">
      <c r="A207" s="1">
        <v>1995</v>
      </c>
      <c r="B207" s="1">
        <v>4</v>
      </c>
      <c r="C207" s="1">
        <v>23</v>
      </c>
      <c r="D207" s="1"/>
      <c r="E207" s="1">
        <v>5</v>
      </c>
      <c r="F207" s="1">
        <v>8</v>
      </c>
      <c r="G207" s="1"/>
      <c r="H207" s="1">
        <v>11</v>
      </c>
      <c r="I207" s="1">
        <v>12</v>
      </c>
      <c r="J207" s="1"/>
      <c r="K207" s="1">
        <v>11</v>
      </c>
      <c r="L207" s="1">
        <v>19</v>
      </c>
      <c r="M207" s="1"/>
    </row>
    <row r="208" spans="1:13" x14ac:dyDescent="0.2">
      <c r="A208" s="1">
        <v>1996</v>
      </c>
      <c r="B208" s="1">
        <v>4</v>
      </c>
      <c r="C208" s="1">
        <v>7</v>
      </c>
      <c r="D208" s="1"/>
      <c r="E208" s="1">
        <v>4</v>
      </c>
      <c r="F208" s="1">
        <v>30</v>
      </c>
      <c r="G208" s="1"/>
      <c r="H208" s="1">
        <v>10</v>
      </c>
      <c r="I208" s="1">
        <v>22</v>
      </c>
      <c r="J208" s="1"/>
      <c r="K208" s="1">
        <v>10</v>
      </c>
      <c r="L208" s="1">
        <v>22</v>
      </c>
      <c r="M208" s="1"/>
    </row>
    <row r="209" spans="1:13" x14ac:dyDescent="0.2">
      <c r="A209" s="1">
        <v>1997</v>
      </c>
      <c r="B209" s="1">
        <v>3</v>
      </c>
      <c r="C209" s="1">
        <v>18</v>
      </c>
      <c r="D209" s="1"/>
      <c r="E209" s="1">
        <v>4</v>
      </c>
      <c r="F209" s="1">
        <v>26</v>
      </c>
      <c r="G209" s="1"/>
      <c r="H209" s="1">
        <v>10</v>
      </c>
      <c r="I209" s="1">
        <v>13</v>
      </c>
      <c r="J209" s="1"/>
      <c r="K209" s="1">
        <v>10</v>
      </c>
      <c r="L209" s="1">
        <v>13</v>
      </c>
      <c r="M209" s="1"/>
    </row>
    <row r="210" spans="1:13" x14ac:dyDescent="0.2">
      <c r="A210" s="1">
        <v>1998</v>
      </c>
      <c r="B210" s="1">
        <v>4</v>
      </c>
      <c r="C210" s="1">
        <v>18</v>
      </c>
      <c r="D210" s="1"/>
      <c r="E210" s="1">
        <v>4</v>
      </c>
      <c r="F210" s="1">
        <v>27</v>
      </c>
      <c r="G210" s="1"/>
      <c r="H210" s="1">
        <v>10</v>
      </c>
      <c r="I210" s="1">
        <v>18</v>
      </c>
      <c r="J210" s="1"/>
      <c r="K210" s="1">
        <v>10</v>
      </c>
      <c r="L210" s="1">
        <v>18</v>
      </c>
      <c r="M210" s="1"/>
    </row>
    <row r="211" spans="1:13" x14ac:dyDescent="0.2">
      <c r="A211" s="1">
        <v>1999</v>
      </c>
      <c r="B211" s="1">
        <v>4</v>
      </c>
      <c r="C211" s="1">
        <v>10</v>
      </c>
      <c r="D211" s="1"/>
      <c r="E211" s="1">
        <v>4</v>
      </c>
      <c r="F211" s="1">
        <v>10</v>
      </c>
      <c r="G211" s="1"/>
      <c r="H211" s="1">
        <v>10</v>
      </c>
      <c r="I211" s="1">
        <v>18</v>
      </c>
      <c r="J211" s="1"/>
      <c r="K211" s="1">
        <v>11</v>
      </c>
      <c r="L211" s="1">
        <v>23</v>
      </c>
      <c r="M211" s="1"/>
    </row>
    <row r="212" spans="1:13" x14ac:dyDescent="0.2">
      <c r="A212" s="1">
        <v>2000</v>
      </c>
      <c r="B212" s="1">
        <v>3</v>
      </c>
      <c r="C212" s="1">
        <v>8</v>
      </c>
      <c r="D212" s="1"/>
      <c r="E212" s="1">
        <v>4</v>
      </c>
      <c r="F212" s="1">
        <v>1</v>
      </c>
      <c r="G212" s="1"/>
      <c r="H212" s="1">
        <v>11</v>
      </c>
      <c r="I212" s="1">
        <v>1</v>
      </c>
      <c r="J212" s="1"/>
      <c r="K212" s="1">
        <v>11</v>
      </c>
      <c r="L212" s="1">
        <v>9</v>
      </c>
      <c r="M212" s="1"/>
    </row>
    <row r="213" spans="1:13" x14ac:dyDescent="0.2">
      <c r="A213" s="1">
        <v>2001</v>
      </c>
      <c r="B213" s="1">
        <v>4</v>
      </c>
      <c r="C213" s="1">
        <v>11</v>
      </c>
      <c r="D213" s="1"/>
      <c r="E213" s="1">
        <v>4</v>
      </c>
      <c r="F213" s="1">
        <v>12</v>
      </c>
      <c r="G213" s="1"/>
      <c r="H213" s="1">
        <v>11</v>
      </c>
      <c r="I213" s="1">
        <v>21</v>
      </c>
      <c r="J213" s="1"/>
      <c r="K213" s="1">
        <v>11</v>
      </c>
      <c r="L213" s="1">
        <v>27</v>
      </c>
      <c r="M213" s="1"/>
    </row>
    <row r="214" spans="1:13" x14ac:dyDescent="0.2">
      <c r="A214" s="1">
        <v>2002</v>
      </c>
      <c r="B214" s="1">
        <v>3</v>
      </c>
      <c r="C214" s="1">
        <v>20</v>
      </c>
      <c r="D214" s="1"/>
      <c r="E214" s="1">
        <v>3</v>
      </c>
      <c r="F214" s="1">
        <v>20</v>
      </c>
      <c r="G214" s="1"/>
      <c r="H214" s="1">
        <v>11</v>
      </c>
      <c r="I214" s="1">
        <v>5</v>
      </c>
      <c r="J214" s="1"/>
      <c r="K214" s="1">
        <v>11</v>
      </c>
      <c r="L214" s="1">
        <v>17</v>
      </c>
      <c r="M214" s="1"/>
    </row>
    <row r="215" spans="1:13" x14ac:dyDescent="0.2">
      <c r="A215" s="1">
        <v>2003</v>
      </c>
      <c r="B215" s="1">
        <v>3</v>
      </c>
      <c r="C215" s="1">
        <v>3</v>
      </c>
      <c r="D215" s="1"/>
      <c r="E215" s="1">
        <v>3</v>
      </c>
      <c r="F215" s="1">
        <v>30</v>
      </c>
      <c r="G215" s="1"/>
      <c r="H215" s="1">
        <v>10</v>
      </c>
      <c r="I215" s="1">
        <v>27</v>
      </c>
      <c r="J215" s="1"/>
      <c r="K215" s="1">
        <v>11</v>
      </c>
      <c r="L215" s="1">
        <v>24</v>
      </c>
      <c r="M215" s="1"/>
    </row>
    <row r="216" spans="1:13" x14ac:dyDescent="0.2">
      <c r="A216" s="1">
        <v>2004</v>
      </c>
      <c r="B216" s="1">
        <v>2</v>
      </c>
      <c r="C216" s="1">
        <v>14</v>
      </c>
      <c r="D216" s="1"/>
      <c r="E216" s="1">
        <v>3</v>
      </c>
      <c r="F216" s="1">
        <v>6</v>
      </c>
      <c r="G216" s="1"/>
      <c r="H216" s="1">
        <v>11</v>
      </c>
      <c r="I216" s="1">
        <v>2</v>
      </c>
      <c r="J216" s="1"/>
      <c r="K216" s="1">
        <v>11</v>
      </c>
      <c r="L216" s="1">
        <v>3</v>
      </c>
      <c r="M216" s="1"/>
    </row>
    <row r="217" spans="1:13" x14ac:dyDescent="0.2">
      <c r="A217" s="1">
        <v>2005</v>
      </c>
      <c r="B217" s="1">
        <v>3</v>
      </c>
      <c r="C217" s="1">
        <v>16</v>
      </c>
      <c r="D217" s="1"/>
      <c r="E217" s="1">
        <v>3</v>
      </c>
      <c r="F217" s="1">
        <v>27</v>
      </c>
      <c r="G217" s="1"/>
      <c r="H217" s="1">
        <v>11</v>
      </c>
      <c r="I217" s="1">
        <v>19</v>
      </c>
      <c r="J217" s="1"/>
      <c r="K217" s="1">
        <v>11</v>
      </c>
      <c r="L217" s="1">
        <v>19</v>
      </c>
      <c r="M217" s="1"/>
    </row>
    <row r="218" spans="1:13" x14ac:dyDescent="0.2">
      <c r="A218" s="1">
        <v>2006</v>
      </c>
      <c r="B218" s="1">
        <v>3</v>
      </c>
      <c r="C218" s="1">
        <v>20</v>
      </c>
      <c r="D218" s="1"/>
      <c r="E218" s="1">
        <v>3</v>
      </c>
      <c r="F218" s="1">
        <v>21</v>
      </c>
      <c r="G218" s="1"/>
      <c r="H218" s="1">
        <v>11</v>
      </c>
      <c r="I218" s="1">
        <v>16</v>
      </c>
      <c r="J218" s="1"/>
      <c r="K218" s="1">
        <v>11</v>
      </c>
      <c r="L218" s="1">
        <v>30</v>
      </c>
      <c r="M218" s="1"/>
    </row>
    <row r="219" spans="1:13" x14ac:dyDescent="0.2">
      <c r="A219" s="1">
        <v>2007</v>
      </c>
      <c r="B219" s="1">
        <v>3</v>
      </c>
      <c r="C219" s="1">
        <v>6</v>
      </c>
      <c r="D219" s="1"/>
      <c r="E219" s="1">
        <v>3</v>
      </c>
      <c r="F219" s="1">
        <v>29</v>
      </c>
      <c r="G219" s="1"/>
      <c r="H219" s="1">
        <v>11</v>
      </c>
      <c r="I219" s="1">
        <v>23</v>
      </c>
      <c r="J219" s="1"/>
      <c r="K219" s="1">
        <v>11</v>
      </c>
      <c r="L219" s="1">
        <v>25</v>
      </c>
      <c r="M219" s="1"/>
    </row>
    <row r="220" spans="1:13" x14ac:dyDescent="0.2">
      <c r="A220" s="1">
        <v>2008</v>
      </c>
      <c r="B220" s="1">
        <v>3</v>
      </c>
      <c r="C220" s="1">
        <v>18</v>
      </c>
      <c r="D220" s="1"/>
      <c r="E220" s="1">
        <v>4</v>
      </c>
      <c r="F220" s="1">
        <v>18</v>
      </c>
      <c r="G220" s="1"/>
      <c r="H220" s="1">
        <v>11</v>
      </c>
      <c r="I220" s="1">
        <v>6</v>
      </c>
      <c r="J220" s="1"/>
      <c r="K220" s="1">
        <v>11</v>
      </c>
      <c r="L220" s="1">
        <v>7</v>
      </c>
      <c r="M220" s="1"/>
    </row>
    <row r="221" spans="1:13" x14ac:dyDescent="0.2">
      <c r="A221" s="1">
        <v>2009</v>
      </c>
      <c r="B221" s="1">
        <v>2</v>
      </c>
      <c r="C221" s="1">
        <v>20</v>
      </c>
      <c r="D221" s="1"/>
      <c r="E221" s="1">
        <v>4</v>
      </c>
      <c r="F221" s="1">
        <v>17</v>
      </c>
      <c r="G221" s="1"/>
      <c r="H221" s="1">
        <v>10</v>
      </c>
      <c r="I221" s="1">
        <v>29</v>
      </c>
      <c r="J221" s="1"/>
      <c r="K221" s="1">
        <v>10</v>
      </c>
      <c r="L221" s="1">
        <v>29</v>
      </c>
      <c r="M221" s="1"/>
    </row>
    <row r="222" spans="1:13" x14ac:dyDescent="0.2">
      <c r="A222" s="1">
        <v>2010</v>
      </c>
      <c r="B222" s="1">
        <v>3</v>
      </c>
      <c r="C222" s="1">
        <v>21</v>
      </c>
      <c r="D222" s="1"/>
      <c r="E222" s="1">
        <v>3</v>
      </c>
      <c r="F222" s="1">
        <v>29</v>
      </c>
      <c r="G222" s="1"/>
      <c r="H222" s="1">
        <v>9</v>
      </c>
      <c r="I222" s="1">
        <v>3</v>
      </c>
      <c r="J222" s="1"/>
      <c r="K222" s="1">
        <v>9</v>
      </c>
      <c r="L222" s="1">
        <v>3</v>
      </c>
      <c r="M222" s="1"/>
    </row>
    <row r="223" spans="1:13" x14ac:dyDescent="0.2">
      <c r="A223" s="1">
        <v>2011</v>
      </c>
      <c r="B223" s="1">
        <v>2</v>
      </c>
      <c r="C223" s="1">
        <v>28</v>
      </c>
      <c r="D223" s="1"/>
      <c r="E223" s="1">
        <v>4</v>
      </c>
      <c r="F223" s="1">
        <v>11</v>
      </c>
      <c r="G223" s="1"/>
      <c r="H223" s="1">
        <v>11</v>
      </c>
      <c r="I223" s="1">
        <v>8</v>
      </c>
      <c r="J223" s="1"/>
      <c r="K223" s="1">
        <v>11</v>
      </c>
      <c r="L223" s="1">
        <v>8</v>
      </c>
      <c r="M223" s="1"/>
    </row>
    <row r="224" spans="1:13" x14ac:dyDescent="0.2">
      <c r="A224" s="1">
        <v>2012</v>
      </c>
      <c r="B224" s="1">
        <v>3</v>
      </c>
      <c r="C224" s="1">
        <v>20</v>
      </c>
      <c r="D224" s="1"/>
      <c r="E224" s="1">
        <v>4</v>
      </c>
      <c r="F224" s="1">
        <v>3</v>
      </c>
      <c r="G224" s="1"/>
      <c r="H224" s="1">
        <v>11</v>
      </c>
      <c r="I224" s="1">
        <v>11</v>
      </c>
      <c r="J224" s="1"/>
      <c r="K224" s="1">
        <v>11</v>
      </c>
      <c r="L224" s="1">
        <v>12</v>
      </c>
      <c r="M224" s="1"/>
    </row>
    <row r="225" spans="1:13" x14ac:dyDescent="0.2">
      <c r="A225" s="1">
        <v>2013</v>
      </c>
      <c r="B225" s="1">
        <v>3</v>
      </c>
      <c r="C225" s="1">
        <v>1</v>
      </c>
      <c r="D225" s="1"/>
      <c r="E225" s="1">
        <v>3</v>
      </c>
      <c r="F225" s="1">
        <v>11</v>
      </c>
      <c r="G225" s="1"/>
      <c r="H225" s="1">
        <v>11</v>
      </c>
      <c r="I225" s="1">
        <v>25</v>
      </c>
      <c r="J225" s="1"/>
      <c r="K225" s="1">
        <v>11</v>
      </c>
      <c r="L225" s="1">
        <v>25</v>
      </c>
      <c r="M225" s="1"/>
    </row>
    <row r="226" spans="1:13" x14ac:dyDescent="0.2">
      <c r="A226" s="1">
        <v>2014</v>
      </c>
      <c r="B226" s="1">
        <v>1</v>
      </c>
      <c r="C226" s="1">
        <v>30</v>
      </c>
      <c r="D226" s="1"/>
      <c r="E226" s="1">
        <v>3</v>
      </c>
      <c r="F226" s="1">
        <v>10</v>
      </c>
      <c r="G226" s="1"/>
      <c r="H226" s="1">
        <v>11</v>
      </c>
      <c r="I226" s="1">
        <v>17</v>
      </c>
      <c r="J226" s="1"/>
      <c r="K226" s="1">
        <v>11</v>
      </c>
      <c r="L226" s="1">
        <v>17</v>
      </c>
      <c r="M226" s="1"/>
    </row>
    <row r="227" spans="1:13" x14ac:dyDescent="0.2">
      <c r="A227" s="1">
        <v>2015</v>
      </c>
      <c r="B227" s="1">
        <v>2</v>
      </c>
      <c r="C227" s="1">
        <v>27</v>
      </c>
      <c r="D227" s="1"/>
      <c r="E227" s="1">
        <v>3</v>
      </c>
      <c r="F227" s="1">
        <v>6</v>
      </c>
      <c r="G227" s="1"/>
      <c r="H227" s="1">
        <v>11</v>
      </c>
      <c r="I227" s="1">
        <v>6</v>
      </c>
      <c r="J227" s="1"/>
      <c r="K227" s="1">
        <v>11</v>
      </c>
      <c r="L227" s="1">
        <v>12</v>
      </c>
      <c r="M227" s="1"/>
    </row>
    <row r="228" spans="1:13" x14ac:dyDescent="0.2">
      <c r="A228" s="1">
        <v>2016</v>
      </c>
      <c r="B228" s="1">
        <v>2</v>
      </c>
      <c r="C228" s="1">
        <v>8</v>
      </c>
      <c r="D228" s="1"/>
      <c r="E228" s="1">
        <v>4</v>
      </c>
      <c r="F228" s="1">
        <v>3</v>
      </c>
      <c r="G228" s="1"/>
      <c r="H228" s="1">
        <v>11</v>
      </c>
      <c r="I228" s="1">
        <v>22</v>
      </c>
      <c r="J228" s="1"/>
      <c r="K228" s="1">
        <v>11</v>
      </c>
      <c r="L228" s="1">
        <v>24</v>
      </c>
      <c r="M228" s="1"/>
    </row>
    <row r="229" spans="1:13" x14ac:dyDescent="0.2">
      <c r="A229" s="1">
        <v>2017</v>
      </c>
      <c r="B229" s="1">
        <v>2</v>
      </c>
      <c r="C229" s="1">
        <v>26</v>
      </c>
      <c r="D229" s="1"/>
      <c r="E229" s="1">
        <v>4</v>
      </c>
      <c r="F229" s="1">
        <v>3</v>
      </c>
      <c r="G229" s="1"/>
      <c r="H229" s="1">
        <v>12</v>
      </c>
      <c r="I229" s="1">
        <v>7</v>
      </c>
      <c r="J229" s="1"/>
      <c r="K229" s="1">
        <v>12</v>
      </c>
      <c r="L229" s="1">
        <v>7</v>
      </c>
      <c r="M229" s="1"/>
    </row>
    <row r="230" spans="1:13" x14ac:dyDescent="0.2">
      <c r="A230" s="1">
        <v>2018</v>
      </c>
      <c r="B230" s="1">
        <v>3</v>
      </c>
      <c r="C230" s="1">
        <v>1</v>
      </c>
      <c r="D230" s="1"/>
      <c r="E230" s="1">
        <v>3</v>
      </c>
      <c r="F230" s="1">
        <v>20</v>
      </c>
      <c r="G230" s="1"/>
      <c r="H230" s="1">
        <v>11</v>
      </c>
      <c r="I230" s="1">
        <v>12</v>
      </c>
      <c r="J230" s="1"/>
      <c r="K230" s="1">
        <v>11</v>
      </c>
      <c r="L230" s="1">
        <v>12</v>
      </c>
      <c r="M230" s="1"/>
    </row>
    <row r="231" spans="1:13" x14ac:dyDescent="0.2">
      <c r="A231" s="1">
        <v>2019</v>
      </c>
      <c r="B231" s="1">
        <v>3</v>
      </c>
      <c r="C231" s="1">
        <v>9</v>
      </c>
      <c r="D231" s="1"/>
      <c r="E231" s="1">
        <v>3</v>
      </c>
      <c r="F231" s="1">
        <v>15</v>
      </c>
      <c r="G231" s="1"/>
      <c r="H231" s="1">
        <v>10</v>
      </c>
      <c r="I231" s="1">
        <v>26</v>
      </c>
      <c r="J231" s="1"/>
      <c r="K231" s="1">
        <v>10</v>
      </c>
      <c r="L231" s="1">
        <v>26</v>
      </c>
      <c r="M231" s="1"/>
    </row>
    <row r="232" spans="1:13" x14ac:dyDescent="0.2">
      <c r="A232" s="1">
        <v>2020</v>
      </c>
      <c r="B232" s="1">
        <v>3</v>
      </c>
      <c r="C232" s="1">
        <v>28</v>
      </c>
      <c r="D232" s="1"/>
      <c r="E232" s="1">
        <v>3</v>
      </c>
      <c r="F232" s="1">
        <v>28</v>
      </c>
      <c r="G232" s="1"/>
      <c r="H232" s="1">
        <v>10</v>
      </c>
      <c r="I232" s="1">
        <v>27</v>
      </c>
      <c r="J232" s="1"/>
      <c r="K232" s="1">
        <v>10</v>
      </c>
      <c r="L232" s="1">
        <v>29</v>
      </c>
      <c r="M232" s="1"/>
    </row>
    <row r="233" spans="1:13" x14ac:dyDescent="0.2">
      <c r="A233" s="1">
        <v>2021</v>
      </c>
      <c r="B233" s="1">
        <v>3</v>
      </c>
      <c r="C233" s="1">
        <v>28</v>
      </c>
      <c r="D233" s="1"/>
      <c r="E233" s="1">
        <v>4</v>
      </c>
      <c r="F233" s="1">
        <v>25</v>
      </c>
      <c r="G233" s="1"/>
      <c r="H233" s="1">
        <v>10</v>
      </c>
      <c r="I233" s="1">
        <v>13</v>
      </c>
      <c r="J233" s="1"/>
      <c r="K233" s="1">
        <v>10</v>
      </c>
      <c r="L233" s="1">
        <v>13</v>
      </c>
      <c r="M233" s="1"/>
    </row>
    <row r="234" spans="1:13" x14ac:dyDescent="0.2">
      <c r="A234" s="1">
        <v>2022</v>
      </c>
      <c r="B234" s="1">
        <v>5</v>
      </c>
      <c r="C234" s="1">
        <v>28</v>
      </c>
      <c r="D234" s="1"/>
      <c r="E234" s="1">
        <v>5</v>
      </c>
      <c r="F234" s="1">
        <v>28</v>
      </c>
      <c r="G234" s="1"/>
      <c r="H234" s="1">
        <v>10</v>
      </c>
      <c r="I234" s="1">
        <v>12</v>
      </c>
      <c r="J234" s="1"/>
      <c r="K234" s="1">
        <v>10</v>
      </c>
      <c r="L234" s="1">
        <v>28</v>
      </c>
      <c r="M234" s="1"/>
    </row>
    <row r="235" spans="1:13" x14ac:dyDescent="0.2">
      <c r="A235" s="1">
        <v>2023</v>
      </c>
      <c r="B235" s="1">
        <v>3</v>
      </c>
      <c r="C235" s="1">
        <v>25</v>
      </c>
      <c r="D235" s="1"/>
      <c r="E235" s="1">
        <v>3</v>
      </c>
      <c r="F235" s="1">
        <v>28</v>
      </c>
      <c r="G235" s="1"/>
      <c r="H235" s="1">
        <v>11</v>
      </c>
      <c r="I235" s="1">
        <v>21</v>
      </c>
      <c r="J235" s="1"/>
      <c r="K235" s="1">
        <v>11</v>
      </c>
      <c r="L235" s="1">
        <v>22</v>
      </c>
      <c r="M235" s="1"/>
    </row>
    <row r="236" spans="1:13" x14ac:dyDescent="0.2">
      <c r="A236" s="1">
        <v>2024</v>
      </c>
      <c r="B236" s="1">
        <v>3</v>
      </c>
      <c r="C236" s="1">
        <v>27</v>
      </c>
      <c r="E236" s="1">
        <v>4</v>
      </c>
      <c r="F236" s="1">
        <v>7</v>
      </c>
      <c r="H236" s="1">
        <v>10</v>
      </c>
      <c r="I236" s="1">
        <v>30</v>
      </c>
      <c r="K236" s="1">
        <v>11</v>
      </c>
      <c r="L236" s="1">
        <v>7</v>
      </c>
    </row>
  </sheetData>
  <sheetProtection algorithmName="SHA-512" hashValue="G4xPJt9psqQvbNvNizwa7FfZY25Eb7bkZPocURxmeqOGNVQjmC+vkOhBSX2H2wYoU2ymPf8tw0cVNtuu+p+rgw==" saltValue="CW5Fh4kFs+4GLihi9vzc4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DC8F3AA66C02439CCBADC6EFA98B64" ma:contentTypeVersion="0" ma:contentTypeDescription="Create a new document." ma:contentTypeScope="" ma:versionID="0769ad2123c24fb64fbaf365bb27e98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E27CED-F3AE-4BBF-8DFC-FF481BC4F6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67A504-7492-4560-90D8-FB0D82D796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96DF69-9B2E-4A55-9E48-14C39E93EE90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luna</vt:lpstr>
      <vt:lpstr>apache-aragon</vt:lpstr>
      <vt:lpstr>reserve</vt:lpstr>
      <vt:lpstr>glenwood-mule crk</vt:lpstr>
      <vt:lpstr>upper gila</vt:lpstr>
      <vt:lpstr>cliff-gila-buckhorn-duck crk</vt:lpstr>
      <vt:lpstr>redrock</vt:lpstr>
      <vt:lpstr>virden valley</vt:lpstr>
      <vt:lpstr>san simon</vt:lpstr>
      <vt:lpstr>luna!gilacheck</vt:lpstr>
      <vt:lpstr>'apache-aragon'!Print_Area</vt:lpstr>
      <vt:lpstr>'cliff-gila-buckhorn-duck crk'!Print_Area</vt:lpstr>
      <vt:lpstr>'glenwood-mule crk'!Print_Area</vt:lpstr>
      <vt:lpstr>redrock!Print_Area</vt:lpstr>
      <vt:lpstr>reserve!Print_Area</vt:lpstr>
      <vt:lpstr>'upper gila'!Print_Area</vt:lpstr>
      <vt:lpstr>'virden valley'!Print_Area</vt:lpstr>
    </vt:vector>
  </TitlesOfParts>
  <Company>Office of the State Engineer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pturney</dc:creator>
  <cp:lastModifiedBy>Liu, Tao, OSE</cp:lastModifiedBy>
  <cp:lastPrinted>2019-04-26T21:36:16Z</cp:lastPrinted>
  <dcterms:created xsi:type="dcterms:W3CDTF">2006-12-26T23:23:13Z</dcterms:created>
  <dcterms:modified xsi:type="dcterms:W3CDTF">2026-05-19T15:35:08Z</dcterms:modified>
</cp:coreProperties>
</file>